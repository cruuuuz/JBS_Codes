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O:\Cruz\Inteligencia\Acompanhamento Global de Preços\Cattle_Prices\Paraguai\"/>
    </mc:Choice>
  </mc:AlternateContent>
  <xr:revisionPtr revIDLastSave="0" documentId="8_{EBE2C06E-C964-F54D-AAF3-CBDF9F422B3C}" xr6:coauthVersionLast="47" xr6:coauthVersionMax="47" xr10:uidLastSave="{00000000-0000-0000-0000-000000000000}"/>
  <bookViews>
    <workbookView xWindow="4620" yWindow="4620" windowWidth="21600" windowHeight="11205" activeTab="3" xr2:uid="{DF7223EF-8D00-498A-A10C-C14DF6443A4A}"/>
  </bookViews>
  <sheets>
    <sheet name="DADOS" sheetId="1" r:id="rId1"/>
    <sheet name="APOIO" sheetId="3" r:id="rId2"/>
    <sheet name="Separação" sheetId="2" r:id="rId3"/>
    <sheet name="Planilha1" sheetId="4" r:id="rId4"/>
  </sheets>
  <definedNames>
    <definedName name="_xlnm._FilterDatabase" localSheetId="2" hidden="1">Separação!$A$1:$B$528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A2" i="4"/>
  <c r="D20" i="4"/>
  <c r="D33" i="4"/>
  <c r="D40" i="4"/>
  <c r="D42" i="4"/>
  <c r="D55" i="4"/>
  <c r="D83" i="4"/>
  <c r="D110" i="4"/>
  <c r="D161" i="4"/>
  <c r="D158" i="4"/>
  <c r="D155" i="4"/>
  <c r="D169" i="4"/>
  <c r="D177" i="4"/>
  <c r="D197" i="4"/>
  <c r="D208" i="4"/>
  <c r="D237" i="4"/>
  <c r="D249" i="4"/>
  <c r="A16" i="4"/>
  <c r="A15" i="4"/>
  <c r="D17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4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A84" i="4"/>
  <c r="F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D2" i="2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10" i="1"/>
  <c r="C11" i="1"/>
  <c r="C12" i="1"/>
  <c r="C13" i="1"/>
  <c r="C14" i="1"/>
  <c r="C15" i="1"/>
  <c r="C16" i="1"/>
  <c r="C6" i="1"/>
  <c r="C7" i="1"/>
  <c r="C8" i="1"/>
  <c r="C3" i="1"/>
  <c r="C4" i="1"/>
  <c r="B15" i="4"/>
  <c r="A14" i="4"/>
  <c r="A56" i="4"/>
  <c r="B85" i="4"/>
  <c r="A34" i="4"/>
  <c r="A76" i="4"/>
  <c r="A78" i="4"/>
  <c r="A58" i="4"/>
  <c r="A36" i="4"/>
  <c r="A74" i="4"/>
  <c r="A52" i="4"/>
  <c r="A30" i="4"/>
  <c r="A70" i="4"/>
  <c r="A50" i="4"/>
  <c r="A28" i="4"/>
  <c r="A54" i="4"/>
  <c r="A68" i="4"/>
  <c r="A46" i="4"/>
  <c r="A26" i="4"/>
  <c r="A66" i="4"/>
  <c r="A44" i="4"/>
  <c r="A22" i="4"/>
  <c r="A62" i="4"/>
  <c r="A42" i="4"/>
  <c r="A20" i="4"/>
  <c r="A82" i="4"/>
  <c r="A60" i="4"/>
  <c r="A38" i="4"/>
  <c r="A18" i="4"/>
  <c r="A77" i="4"/>
  <c r="A69" i="4"/>
  <c r="A61" i="4"/>
  <c r="A53" i="4"/>
  <c r="A45" i="4"/>
  <c r="A37" i="4"/>
  <c r="A29" i="4"/>
  <c r="A21" i="4"/>
  <c r="A83" i="4"/>
  <c r="A75" i="4"/>
  <c r="A67" i="4"/>
  <c r="A59" i="4"/>
  <c r="A51" i="4"/>
  <c r="A43" i="4"/>
  <c r="A35" i="4"/>
  <c r="A27" i="4"/>
  <c r="A19" i="4"/>
  <c r="A81" i="4"/>
  <c r="A73" i="4"/>
  <c r="A65" i="4"/>
  <c r="A57" i="4"/>
  <c r="A49" i="4"/>
  <c r="A41" i="4"/>
  <c r="A33" i="4"/>
  <c r="A25" i="4"/>
  <c r="A17" i="4"/>
  <c r="A80" i="4"/>
  <c r="A72" i="4"/>
  <c r="A64" i="4"/>
  <c r="A48" i="4"/>
  <c r="A40" i="4"/>
  <c r="A32" i="4"/>
  <c r="A24" i="4"/>
  <c r="A79" i="4"/>
  <c r="A71" i="4"/>
  <c r="A63" i="4"/>
  <c r="A55" i="4"/>
  <c r="A47" i="4"/>
  <c r="A39" i="4"/>
  <c r="A31" i="4"/>
  <c r="A23" i="4"/>
  <c r="C35" i="4"/>
  <c r="C36" i="4"/>
  <c r="C37" i="4"/>
  <c r="C38" i="4"/>
  <c r="C39" i="4"/>
  <c r="B14" i="4"/>
  <c r="A13" i="4"/>
  <c r="B86" i="4"/>
  <c r="A85" i="4"/>
  <c r="C41" i="4"/>
  <c r="C43" i="4"/>
  <c r="C44" i="4"/>
  <c r="C45" i="4"/>
  <c r="C46" i="4"/>
  <c r="C47" i="4"/>
  <c r="C48" i="4"/>
  <c r="C49" i="4"/>
  <c r="C50" i="4"/>
  <c r="C51" i="4"/>
  <c r="C52" i="4"/>
  <c r="C53" i="4"/>
  <c r="C54" i="4"/>
  <c r="B13" i="4"/>
  <c r="A12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A86" i="4"/>
  <c r="B87" i="4"/>
  <c r="B12" i="4"/>
  <c r="A11" i="4"/>
  <c r="A10" i="4"/>
  <c r="A9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6" i="4"/>
  <c r="C157" i="4"/>
  <c r="C159" i="4"/>
  <c r="C160" i="4"/>
  <c r="C162" i="4"/>
  <c r="C163" i="4"/>
  <c r="C164" i="4"/>
  <c r="C165" i="4"/>
  <c r="C166" i="4"/>
  <c r="C167" i="4"/>
  <c r="C168" i="4"/>
  <c r="C170" i="4"/>
  <c r="C171" i="4"/>
  <c r="C172" i="4"/>
  <c r="C173" i="4"/>
  <c r="C174" i="4"/>
  <c r="C175" i="4"/>
  <c r="C176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8" i="4"/>
  <c r="C199" i="4"/>
  <c r="C200" i="4"/>
  <c r="C201" i="4"/>
  <c r="C202" i="4"/>
  <c r="C203" i="4"/>
  <c r="C204" i="4"/>
  <c r="C205" i="4"/>
  <c r="C206" i="4"/>
  <c r="C207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A87" i="4"/>
  <c r="B88" i="4"/>
  <c r="A8" i="4"/>
  <c r="B9" i="4"/>
  <c r="B11" i="4"/>
  <c r="A88" i="4"/>
  <c r="B89" i="4"/>
  <c r="A7" i="4"/>
  <c r="B8" i="4"/>
  <c r="B10" i="4"/>
  <c r="A89" i="4"/>
  <c r="B90" i="4"/>
  <c r="B7" i="4"/>
  <c r="A6" i="4"/>
  <c r="A90" i="4"/>
  <c r="B91" i="4"/>
  <c r="B6" i="4"/>
  <c r="A5" i="4"/>
  <c r="A91" i="4"/>
  <c r="B92" i="4"/>
  <c r="B5" i="4"/>
  <c r="A4" i="4"/>
  <c r="B93" i="4"/>
  <c r="A92" i="4"/>
  <c r="B4" i="4"/>
  <c r="A3" i="4"/>
  <c r="B3" i="4"/>
  <c r="A93" i="4"/>
  <c r="B94" i="4"/>
  <c r="A94" i="4"/>
  <c r="B95" i="4"/>
  <c r="A95" i="4"/>
  <c r="B96" i="4"/>
  <c r="A96" i="4"/>
  <c r="B97" i="4"/>
  <c r="A97" i="4"/>
  <c r="B98" i="4"/>
  <c r="A98" i="4"/>
  <c r="B99" i="4"/>
  <c r="A99" i="4"/>
  <c r="B100" i="4"/>
  <c r="B101" i="4"/>
  <c r="A100" i="4"/>
  <c r="A101" i="4"/>
  <c r="B102" i="4"/>
  <c r="A102" i="4"/>
  <c r="B103" i="4"/>
  <c r="B104" i="4"/>
  <c r="A103" i="4"/>
  <c r="B105" i="4"/>
  <c r="A104" i="4"/>
  <c r="A105" i="4"/>
  <c r="B106" i="4"/>
  <c r="B107" i="4"/>
  <c r="A106" i="4"/>
  <c r="A107" i="4"/>
  <c r="B108" i="4"/>
  <c r="B109" i="4"/>
  <c r="A108" i="4"/>
  <c r="A109" i="4"/>
  <c r="B110" i="4"/>
  <c r="A110" i="4"/>
  <c r="B111" i="4"/>
  <c r="B112" i="4"/>
  <c r="A111" i="4"/>
  <c r="B113" i="4"/>
  <c r="A112" i="4"/>
  <c r="A113" i="4"/>
  <c r="B114" i="4"/>
  <c r="A114" i="4"/>
  <c r="B115" i="4"/>
  <c r="B116" i="4"/>
  <c r="A115" i="4"/>
  <c r="B117" i="4"/>
  <c r="A116" i="4"/>
  <c r="A117" i="4"/>
  <c r="B118" i="4"/>
  <c r="B119" i="4"/>
  <c r="A118" i="4"/>
  <c r="A119" i="4"/>
  <c r="B120" i="4"/>
  <c r="A120" i="4"/>
  <c r="B121" i="4"/>
  <c r="B122" i="4"/>
  <c r="A121" i="4"/>
  <c r="A122" i="4"/>
  <c r="B123" i="4"/>
  <c r="B124" i="4"/>
  <c r="A123" i="4"/>
  <c r="B125" i="4"/>
  <c r="A124" i="4"/>
  <c r="A125" i="4"/>
  <c r="B126" i="4"/>
  <c r="A126" i="4"/>
  <c r="B127" i="4"/>
  <c r="B128" i="4"/>
  <c r="A127" i="4"/>
  <c r="B129" i="4"/>
  <c r="A128" i="4"/>
  <c r="A129" i="4"/>
  <c r="B130" i="4"/>
  <c r="B131" i="4"/>
  <c r="A130" i="4"/>
  <c r="B132" i="4"/>
  <c r="A131" i="4"/>
  <c r="A132" i="4"/>
  <c r="B133" i="4"/>
  <c r="A133" i="4"/>
  <c r="B134" i="4"/>
  <c r="A134" i="4"/>
  <c r="B135" i="4"/>
  <c r="B136" i="4"/>
  <c r="A135" i="4"/>
  <c r="A136" i="4"/>
  <c r="B137" i="4"/>
  <c r="B138" i="4"/>
  <c r="A137" i="4"/>
  <c r="B139" i="4"/>
  <c r="A138" i="4"/>
  <c r="A139" i="4"/>
  <c r="B140" i="4"/>
  <c r="A140" i="4"/>
  <c r="B141" i="4"/>
  <c r="A141" i="4"/>
  <c r="B142" i="4"/>
  <c r="A142" i="4"/>
  <c r="B143" i="4"/>
  <c r="A143" i="4"/>
  <c r="B144" i="4"/>
  <c r="B145" i="4"/>
  <c r="A144" i="4"/>
  <c r="A145" i="4"/>
  <c r="B146" i="4"/>
  <c r="A146" i="4"/>
  <c r="B147" i="4"/>
  <c r="B148" i="4"/>
  <c r="A147" i="4"/>
  <c r="B149" i="4"/>
  <c r="A148" i="4"/>
  <c r="A149" i="4"/>
  <c r="B150" i="4"/>
  <c r="B151" i="4"/>
  <c r="A150" i="4"/>
  <c r="A151" i="4"/>
  <c r="B152" i="4"/>
  <c r="A152" i="4"/>
  <c r="B153" i="4"/>
  <c r="A153" i="4"/>
  <c r="B154" i="4"/>
  <c r="A154" i="4"/>
  <c r="B155" i="4"/>
  <c r="B156" i="4"/>
  <c r="A155" i="4"/>
  <c r="B157" i="4"/>
  <c r="A156" i="4"/>
  <c r="A157" i="4"/>
  <c r="B158" i="4"/>
  <c r="A158" i="4"/>
  <c r="B159" i="4"/>
  <c r="A159" i="4"/>
  <c r="B160" i="4"/>
  <c r="A160" i="4"/>
  <c r="B161" i="4"/>
  <c r="B162" i="4"/>
  <c r="A161" i="4"/>
  <c r="A162" i="4"/>
  <c r="B163" i="4"/>
  <c r="A163" i="4"/>
  <c r="B164" i="4"/>
  <c r="A164" i="4"/>
  <c r="B165" i="4"/>
  <c r="A165" i="4"/>
  <c r="B166" i="4"/>
  <c r="B167" i="4"/>
  <c r="A166" i="4"/>
  <c r="A167" i="4"/>
  <c r="B168" i="4"/>
  <c r="B169" i="4"/>
  <c r="A168" i="4"/>
  <c r="B170" i="4"/>
  <c r="A169" i="4"/>
  <c r="A170" i="4"/>
  <c r="B171" i="4"/>
  <c r="A171" i="4"/>
  <c r="B172" i="4"/>
  <c r="B173" i="4"/>
  <c r="A172" i="4"/>
  <c r="B174" i="4"/>
  <c r="A173" i="4"/>
  <c r="B175" i="4"/>
  <c r="A174" i="4"/>
  <c r="A175" i="4"/>
  <c r="B176" i="4"/>
  <c r="A176" i="4"/>
  <c r="B177" i="4"/>
  <c r="B178" i="4"/>
  <c r="A177" i="4"/>
  <c r="A178" i="4"/>
  <c r="B179" i="4"/>
  <c r="A179" i="4"/>
  <c r="B180" i="4"/>
  <c r="B181" i="4"/>
  <c r="A180" i="4"/>
  <c r="A181" i="4"/>
  <c r="B182" i="4"/>
  <c r="B183" i="4"/>
  <c r="A182" i="4"/>
  <c r="A183" i="4"/>
  <c r="B184" i="4"/>
  <c r="B185" i="4"/>
  <c r="A184" i="4"/>
  <c r="B186" i="4"/>
  <c r="A185" i="4"/>
  <c r="A186" i="4"/>
  <c r="B187" i="4"/>
  <c r="A187" i="4"/>
  <c r="B188" i="4"/>
  <c r="A188" i="4"/>
  <c r="B189" i="4"/>
  <c r="A189" i="4"/>
  <c r="B190" i="4"/>
  <c r="A190" i="4"/>
  <c r="B191" i="4"/>
  <c r="A191" i="4"/>
  <c r="B192" i="4"/>
  <c r="B193" i="4"/>
  <c r="A192" i="4"/>
  <c r="B194" i="4"/>
  <c r="A193" i="4"/>
  <c r="A194" i="4"/>
  <c r="B195" i="4"/>
  <c r="A195" i="4"/>
  <c r="B196" i="4"/>
  <c r="B197" i="4"/>
  <c r="A196" i="4"/>
  <c r="A197" i="4"/>
  <c r="B198" i="4"/>
  <c r="A198" i="4"/>
  <c r="B199" i="4"/>
  <c r="A199" i="4"/>
  <c r="B200" i="4"/>
  <c r="A200" i="4"/>
  <c r="B201" i="4"/>
  <c r="B202" i="4"/>
  <c r="A201" i="4"/>
  <c r="A202" i="4"/>
  <c r="B203" i="4"/>
  <c r="B204" i="4"/>
  <c r="A203" i="4"/>
  <c r="A204" i="4"/>
  <c r="B205" i="4"/>
  <c r="B206" i="4"/>
  <c r="A205" i="4"/>
  <c r="A206" i="4"/>
  <c r="B207" i="4"/>
  <c r="A207" i="4"/>
  <c r="B208" i="4"/>
  <c r="A208" i="4"/>
  <c r="B209" i="4"/>
  <c r="A209" i="4"/>
  <c r="B210" i="4"/>
  <c r="A210" i="4"/>
  <c r="B211" i="4"/>
  <c r="B212" i="4"/>
  <c r="A211" i="4"/>
  <c r="A212" i="4"/>
  <c r="B213" i="4"/>
  <c r="B214" i="4"/>
  <c r="A213" i="4"/>
  <c r="A214" i="4"/>
  <c r="B215" i="4"/>
  <c r="B216" i="4"/>
  <c r="A215" i="4"/>
  <c r="A216" i="4"/>
  <c r="B217" i="4"/>
  <c r="B218" i="4"/>
  <c r="A217" i="4"/>
  <c r="A218" i="4"/>
  <c r="B219" i="4"/>
  <c r="B220" i="4"/>
  <c r="A219" i="4"/>
  <c r="A220" i="4"/>
  <c r="B221" i="4"/>
  <c r="A221" i="4"/>
  <c r="B222" i="4"/>
  <c r="B223" i="4"/>
  <c r="A222" i="4"/>
  <c r="B224" i="4"/>
  <c r="A223" i="4"/>
  <c r="B225" i="4"/>
  <c r="A224" i="4"/>
  <c r="A225" i="4"/>
  <c r="B226" i="4"/>
  <c r="A226" i="4"/>
  <c r="B227" i="4"/>
  <c r="A227" i="4"/>
  <c r="B228" i="4"/>
  <c r="B229" i="4"/>
  <c r="A228" i="4"/>
  <c r="A229" i="4"/>
  <c r="B230" i="4"/>
  <c r="A230" i="4"/>
  <c r="B231" i="4"/>
  <c r="A231" i="4"/>
  <c r="B232" i="4"/>
  <c r="A232" i="4"/>
  <c r="B233" i="4"/>
  <c r="B234" i="4"/>
  <c r="A233" i="4"/>
  <c r="A234" i="4"/>
  <c r="B235" i="4"/>
  <c r="B236" i="4"/>
  <c r="A235" i="4"/>
  <c r="B237" i="4"/>
  <c r="A236" i="4"/>
  <c r="A237" i="4"/>
  <c r="B238" i="4"/>
  <c r="A238" i="4"/>
  <c r="B239" i="4"/>
  <c r="B240" i="4"/>
  <c r="A239" i="4"/>
  <c r="B241" i="4"/>
  <c r="A240" i="4"/>
  <c r="A241" i="4"/>
  <c r="B242" i="4"/>
  <c r="A242" i="4"/>
  <c r="B243" i="4"/>
  <c r="A243" i="4"/>
  <c r="B244" i="4"/>
  <c r="A244" i="4"/>
  <c r="B245" i="4"/>
  <c r="B246" i="4"/>
  <c r="A245" i="4"/>
  <c r="B247" i="4"/>
  <c r="A246" i="4"/>
  <c r="B248" i="4"/>
  <c r="A247" i="4"/>
  <c r="A248" i="4"/>
  <c r="B249" i="4"/>
  <c r="B250" i="4"/>
  <c r="A249" i="4"/>
  <c r="A250" i="4"/>
  <c r="D82" i="4"/>
  <c r="D84" i="4"/>
</calcChain>
</file>

<file path=xl/sharedStrings.xml><?xml version="1.0" encoding="utf-8"?>
<sst xmlns="http://schemas.openxmlformats.org/spreadsheetml/2006/main" count="840" uniqueCount="552">
  <si>
    <t>DATA</t>
  </si>
  <si>
    <t>PREÇO</t>
  </si>
  <si>
    <t>VAZIO</t>
  </si>
  <si>
    <t>N°529 -- Jueves 27 de junio de 2024</t>
  </si>
  <si>
    <t>N°528 -- Jueves 20 de junio de 2024</t>
  </si>
  <si>
    <t>N°527 -- Jueves 13 de junio de 2024</t>
  </si>
  <si>
    <t>N°526 -- Jueves 06 de junio de 2024</t>
  </si>
  <si>
    <t>N°525 -- Jueves 30 de mayo de 2024</t>
  </si>
  <si>
    <t>N°524 -- Jueves 23 de mayo de 2024</t>
  </si>
  <si>
    <t>N°523 -- Jueves 16 de mayo de 2024</t>
  </si>
  <si>
    <t>N°522 -- Jueves 09 de mayo de 2024</t>
  </si>
  <si>
    <t>N°521 -- Jueves 02 de mayo de 2024</t>
  </si>
  <si>
    <t>N°520 -- Jueves 25 de abril de 2024</t>
  </si>
  <si>
    <t>N°519 -- Jueves 18 de abril de 2024</t>
  </si>
  <si>
    <t>N°518 -- Jueves 11 de abril de 2024</t>
  </si>
  <si>
    <t>N°517 -- Jueves 04 de abril de 2024</t>
  </si>
  <si>
    <t>N°515 -- Jueves 07 de marzo de 2024</t>
  </si>
  <si>
    <t>N°514 -- Jueves 29 de febrero de 2024</t>
  </si>
  <si>
    <t>N°513 -- Jueves 22 de febrero de 2024</t>
  </si>
  <si>
    <t>N°512 -- Jueves 15 de febrero de 2024</t>
  </si>
  <si>
    <t>N°511 -- Jueves 08 de febrero de 2024</t>
  </si>
  <si>
    <t>N°510 -- Jueves 01 de febrero de 2024</t>
  </si>
  <si>
    <t>N°509 -- Jueves 25 de enero de 2024</t>
  </si>
  <si>
    <t>N°508 -- Jueves 18 de enero de 2024</t>
  </si>
  <si>
    <t>N°507 -- Jueves 11 de enero de 2024</t>
  </si>
  <si>
    <t>N°506 -- Jueves 04 de enero de 2024</t>
  </si>
  <si>
    <t>N°505 -- Jueves 28 de diciembre de 2023</t>
  </si>
  <si>
    <t>N°504 -- Jueves 21 de diciembre de 2023</t>
  </si>
  <si>
    <t>N°503 -- Jueves 14 de diciembre de 2023</t>
  </si>
  <si>
    <t>N°502 -- Jueves 07 de diciembre de 2023</t>
  </si>
  <si>
    <t>N°501 -- Jueves 30 de noviembre de 2023</t>
  </si>
  <si>
    <t>N°500 -- Jueves 23 de noviembre de 2023</t>
  </si>
  <si>
    <t>N°499 -- Jueves 16 de noviembre de 2023</t>
  </si>
  <si>
    <t>N°498 -- Jueves 09 de noviembre de 2023</t>
  </si>
  <si>
    <t>N°497 -- Jueves 02 de noviembre de 2023</t>
  </si>
  <si>
    <t>N°496 -- Jueves 26 de octubre de 2023</t>
  </si>
  <si>
    <t>N°495 -- Jueves 19 de octubre de 2023</t>
  </si>
  <si>
    <t>N°494 -- Jueves 12 de octubre de 2023</t>
  </si>
  <si>
    <t>N°493 -- Jueves 05 de octubre de 2023</t>
  </si>
  <si>
    <t>N°492 -- Jueves 28 de septiembre de 2023</t>
  </si>
  <si>
    <t>N°491 -- Jueves 21 de septiembre de 2023</t>
  </si>
  <si>
    <t>N°490 -- Jueves 07 de septiembre de 2023</t>
  </si>
  <si>
    <t>N°489 -- Jueves 31 de agosto de 2023</t>
  </si>
  <si>
    <t>N°488 -- Jueves 24 de agosto de 2023</t>
  </si>
  <si>
    <t>N°487 -- Jueves 17 de agosto de 2023</t>
  </si>
  <si>
    <t>N°486 -- Jueves 10 de agosto de 2023</t>
  </si>
  <si>
    <t>N°485 -- Jueves 03 de agosto de 2023</t>
  </si>
  <si>
    <t>N°484 -- Jueves 27 de julio de 2023</t>
  </si>
  <si>
    <t>N°483 -- Jueves 20 de julio de 2023</t>
  </si>
  <si>
    <t>N°482 -- Jueves 13 de julio de 2023</t>
  </si>
  <si>
    <t>N°481 -- Jueves 06 de julio de 2023</t>
  </si>
  <si>
    <t>N°480 -- Jueves 29 de junio de 2023</t>
  </si>
  <si>
    <t>N°479 -- Jueves 22 de junio de 2023</t>
  </si>
  <si>
    <t>N°478 -- Jueves 15 de junio de 2023</t>
  </si>
  <si>
    <t>N°477 -- Jueves 08 de junio de 2023</t>
  </si>
  <si>
    <t>N°476 -- Jueves 01 de junio de 2023</t>
  </si>
  <si>
    <t>N°475 -- Jueves 25 de mayo de 2023</t>
  </si>
  <si>
    <t>N°474 -- Jueves 18 de mayo de 2023</t>
  </si>
  <si>
    <t>N°473 -- Jueves 11 de mayo de 2023</t>
  </si>
  <si>
    <t>N°472 -- Jueves 04 de mayo de 2023</t>
  </si>
  <si>
    <t>N°471 -- Jueves 27 de abril de 2023</t>
  </si>
  <si>
    <t>N°470 -- Jueves 20 de abril de 2023</t>
  </si>
  <si>
    <t>N°469 -- Jueves 13 de abril de 2023</t>
  </si>
  <si>
    <t>N°468 -- Jueves 06 de abril de 2023</t>
  </si>
  <si>
    <t>N°467 -- Jueves 30 de marzo de 2023</t>
  </si>
  <si>
    <t>N°466 -- Jueves 23 de marzo de 2023</t>
  </si>
  <si>
    <t>N°465 -- Jueves 16 de marzo de 2023</t>
  </si>
  <si>
    <t>N°464 -- Jueves 09 de marzo de 2023</t>
  </si>
  <si>
    <t>N°463 -- Jueves 02 de marzo de 2023</t>
  </si>
  <si>
    <t>N°462 -- Jueves 23 de febrero de 2023</t>
  </si>
  <si>
    <t>N°461 -- Jueves 16 de febrero de 2023</t>
  </si>
  <si>
    <t>N°460 -- Jueves 09 de febrero de 2023</t>
  </si>
  <si>
    <t>N°459 -- Jueves 02 de febrero de 2023</t>
  </si>
  <si>
    <t>N°458 -- Jueves 26 de enero de 2023</t>
  </si>
  <si>
    <t>N°457 -- Jueves 19 de enero de 2023</t>
  </si>
  <si>
    <t>N°456 -- Jueves 12 de enero de 2023</t>
  </si>
  <si>
    <t>N°455 -- Jueves 05 de enero de 2023</t>
  </si>
  <si>
    <t>N°454 -- Jueves 29 de diciembre de 2022</t>
  </si>
  <si>
    <t>N°453 -- Jueves 22 de diciembre de 2022</t>
  </si>
  <si>
    <t>N°452 -- Jueves 15 de diciembre de 2022</t>
  </si>
  <si>
    <t>N°451 -- Jueves 08 de diciembre de 2022</t>
  </si>
  <si>
    <t>N°450 -- Jueves 01 de diciembre de 2022</t>
  </si>
  <si>
    <t>N°449 -- Jueves 24 de noviembre de 2022</t>
  </si>
  <si>
    <t>N°448 -- Jueves 17 de noviembre de 2022</t>
  </si>
  <si>
    <t>N°447 -- Jueves 10 de noviembre de 2022</t>
  </si>
  <si>
    <t>N°446 -- Jueves 27 de octubre de 2022</t>
  </si>
  <si>
    <t>N°445 -- Jueves 20 de octubre de 2022</t>
  </si>
  <si>
    <t>N°444 -- Jueves 06 de octubre de 2022</t>
  </si>
  <si>
    <t>N°443 -- Jueves 29 de septiembre de 2022</t>
  </si>
  <si>
    <t>N°442 -- Jueves 15 de septiembre de 2022</t>
  </si>
  <si>
    <t>N°441 -- Jueves 08 de septiembre de 2022</t>
  </si>
  <si>
    <t>N°440 -- Jueves 01 de septiembre de 2022</t>
  </si>
  <si>
    <t>N°439 -- Jueves 25 de agosto de 2022</t>
  </si>
  <si>
    <t>N°438 -- Jueves 18 de agosto de 2022</t>
  </si>
  <si>
    <t>N°437 -- Jueves 11 de agosto de 2022</t>
  </si>
  <si>
    <t>N°436 -- Jueves 04 de agosto de 2022</t>
  </si>
  <si>
    <t>N°435 -- Jueves 21 de julio de 2022</t>
  </si>
  <si>
    <t>N°434 -- Jueves 14 de julio de 2022</t>
  </si>
  <si>
    <t>N°433 -- Jueves 07 de julio de 2022</t>
  </si>
  <si>
    <t>N°432 -- Jueves 30 de junio de 2022</t>
  </si>
  <si>
    <t>N°431 -- Jueves 23 de junio de 2022</t>
  </si>
  <si>
    <t>N°430 -- Jueves 16 de junio de 2022</t>
  </si>
  <si>
    <t>N°429 -- Jueves 09 de junio de 2022</t>
  </si>
  <si>
    <t>N°428 -- Jueves 26 de mayo de 2022</t>
  </si>
  <si>
    <t>N°427 -- Jueves 19 de mayo de 2022</t>
  </si>
  <si>
    <t>N°426 -- Jueves 12 de mayo de 2022</t>
  </si>
  <si>
    <t>N°425 -- Jueves 05 de mayo de 2022</t>
  </si>
  <si>
    <t>N°424 -- Jueves 28 de abril de 2022</t>
  </si>
  <si>
    <t>N°423 -- Jueves 21 de abril de 2022</t>
  </si>
  <si>
    <t>N°422 -- Jueves 14 de abril de 2022</t>
  </si>
  <si>
    <t>N°421 -- Jueves 07 de abril de 2022</t>
  </si>
  <si>
    <t>N°420 -- Jueves 31 de marzo de 2022</t>
  </si>
  <si>
    <t>N°419 -- Jueves 24 de marzo de 2022</t>
  </si>
  <si>
    <t>N°418 -- Jueves 17 de marzo de 2022</t>
  </si>
  <si>
    <t>N°417 -- Jueves 10 de marzo de 2022</t>
  </si>
  <si>
    <t>N°416 -- Jueves 03 de marzo de 2022</t>
  </si>
  <si>
    <t>N°415 -- Jueves 24 de febrero de 2022</t>
  </si>
  <si>
    <t>N°414 -- Jueves 17 de febrero de 2022</t>
  </si>
  <si>
    <t>N°413 -- Jueves 10 de febrero de 2022</t>
  </si>
  <si>
    <t>N°412 -- Jueves 03 de febrero de 2022</t>
  </si>
  <si>
    <t>N°411 -- Jueves 27 de enero de 2022</t>
  </si>
  <si>
    <t>N°410 -- Jueves 20 de enero de 2022</t>
  </si>
  <si>
    <t>N°409 -- Jueves 06 de enero de 2022</t>
  </si>
  <si>
    <t>N°408 -- Jueves 30 de diciembre de 2021</t>
  </si>
  <si>
    <t>N°407 -- Jueves 23 de diciembre de 2021</t>
  </si>
  <si>
    <t>N°406 -- Jueves 16 de diciembre de 2021</t>
  </si>
  <si>
    <t>N°405 -- Jueves 09 de diciembre de 2021</t>
  </si>
  <si>
    <t>N°404 -- Jueves 02 de diciembre de 2021</t>
  </si>
  <si>
    <t>N°403 -- Jueves 25 de noviembre de 2021</t>
  </si>
  <si>
    <t>N°402 -- Jueves 18 de noviembre de 2021</t>
  </si>
  <si>
    <t>N°401 -- Jueves 11 de noviembre de 2021</t>
  </si>
  <si>
    <t>N°400 -- Jueves 04 de noviembre de 2021</t>
  </si>
  <si>
    <t>N°399 -- Jueves 21 de octubre de 2021</t>
  </si>
  <si>
    <t>N°398 -- Jueves 14 de octubre de 2021</t>
  </si>
  <si>
    <t>N°397 -- Jueves 07 de octubre de 2021</t>
  </si>
  <si>
    <t>N°396 -- Jueves 30 de septiembre de 2021</t>
  </si>
  <si>
    <t>N°395 -- Jueves 23 de septiembre de 2021</t>
  </si>
  <si>
    <t>N°394 -- Jueves 16 de septiembre de 2021</t>
  </si>
  <si>
    <t>N°393 -- Jueves 09 de septiembre de 2021</t>
  </si>
  <si>
    <t>N°392 -- Jueves 02 de septiembre de 2021</t>
  </si>
  <si>
    <t>N°391 -- Jueves 26 de agosto de 2021</t>
  </si>
  <si>
    <t>N°390 -- Jueves 19 de agosto de 2021</t>
  </si>
  <si>
    <t>N°389 -- Jueves 12 de agosto de 2021</t>
  </si>
  <si>
    <t>N°388 -- Jueves 05 de agosto de 2021</t>
  </si>
  <si>
    <t>N°387 -- Jueves 29 de julio de 2021</t>
  </si>
  <si>
    <t>N°386 -- Jueves 22 de julio de 2021</t>
  </si>
  <si>
    <t>N°385 -- Jueves 15 de julio de 2021</t>
  </si>
  <si>
    <t>N°384 -- Jueves 08 de julio de 2021</t>
  </si>
  <si>
    <t>N°383 -- Jueves 01 de julio de 2021</t>
  </si>
  <si>
    <t>N°382 -- Jueves 24 de junio de 2021</t>
  </si>
  <si>
    <t>N°381 -- Jueves 17 de junio de 2021</t>
  </si>
  <si>
    <t>N°380 -- Jueves 10 de junio de 2021</t>
  </si>
  <si>
    <t>N°379 -- Jueves 03 de junio de 2021</t>
  </si>
  <si>
    <t>N°378 -- Jueves 27 de mayo de 2021</t>
  </si>
  <si>
    <t>N°377 -- Jueves 20 de mayo de 2021</t>
  </si>
  <si>
    <t>N°375 -- Jueves 6 de mayo de 2021</t>
  </si>
  <si>
    <t>N°374 --Jueves 29 de abril de 2021</t>
  </si>
  <si>
    <t>N°373 -- Jueves 22 de abril de 2021</t>
  </si>
  <si>
    <t>N°372 -- Jueves 15 de abril de 2021</t>
  </si>
  <si>
    <t>N°371 -- Jueves 09 de abril de 2021</t>
  </si>
  <si>
    <t>N°370 -- Jueves 25 de marzo de 2021</t>
  </si>
  <si>
    <t>N°369 -- Jueves 18 de marzo de 2021</t>
  </si>
  <si>
    <t>Nº368 -- Jueves 11 de marzo de 2021</t>
  </si>
  <si>
    <t>Nº367 -- Jueves 4 de marzo de 2021</t>
  </si>
  <si>
    <t>Nº366 -- Jueves 25 de febrero de 2021</t>
  </si>
  <si>
    <t>Nº365 -- Jueves 18 de febrero de 2021</t>
  </si>
  <si>
    <t>Nº364 -- Jueves 11 de febrero de 2021</t>
  </si>
  <si>
    <t>Nº363 -- Jueves 04 de febrero de 2021</t>
  </si>
  <si>
    <t>Nº362 -- Jueves 28 de enero de 2021</t>
  </si>
  <si>
    <t>Nº361 -- Jueves 21 de enero de 2021</t>
  </si>
  <si>
    <t>Nº360 -- Jueves 14 de enero de 2021</t>
  </si>
  <si>
    <t>Nº359 -- Jueves 7 de enero de 2021</t>
  </si>
  <si>
    <t>Nº358 -- Jueves 31 de diciembre de 2020</t>
  </si>
  <si>
    <t>Nº357 -- Jueves 24 de diciembre de 2020</t>
  </si>
  <si>
    <t>Nº356 -- Jueves 17 de diciembre de 2020</t>
  </si>
  <si>
    <t>Nº355 -- Jueves 10 de diciembre de 2020</t>
  </si>
  <si>
    <t>Nº354 -- Jueves 3 de diciembre de 2020</t>
  </si>
  <si>
    <t>Nº353 -- Jueves 26 de noviembre de 2020</t>
  </si>
  <si>
    <t>Nº352 -- Jueves 19 de noviembre de 2020</t>
  </si>
  <si>
    <t>Nº351 -- Jueves 12 de noviembre de 2020</t>
  </si>
  <si>
    <t>Nº350 -- Jueves 5 de noviembre de 2020</t>
  </si>
  <si>
    <t>N°349 -- Jueves 29 de octubre de 2020</t>
  </si>
  <si>
    <t>N°348 -- Jueves 22 de octubre de 2020</t>
  </si>
  <si>
    <t>N°347 -- Jueves 15 de octubre de 2020</t>
  </si>
  <si>
    <t>N°346 -- Jueves 8 de octubre de 2020</t>
  </si>
  <si>
    <t>N°345 -- Jueves 1 de octubre de 2020</t>
  </si>
  <si>
    <t>N°344 -- Jueves 24 de setiembre de 2020</t>
  </si>
  <si>
    <t>N°343 -- Jueves 17 de setiembre de 2020</t>
  </si>
  <si>
    <t>N°342 -- Jueves 10 de setiembre de 2020</t>
  </si>
  <si>
    <t>Nº341 -- Jueves 3 de setiembre de 2020</t>
  </si>
  <si>
    <t>Nº340 -- Jueves 27 de agosto de 2020</t>
  </si>
  <si>
    <t>Nº339 -- Jueves 13 de agosto de 2020</t>
  </si>
  <si>
    <t>Nº338 -- Jueves 6 de agosto de 2020</t>
  </si>
  <si>
    <t>Nº337 -- Jueves 30 de julio de 2020</t>
  </si>
  <si>
    <t>Nº336 -- Jueves 23 de julio de 2020</t>
  </si>
  <si>
    <t>Nº335 -- Jueves 16 de julio de 2020</t>
  </si>
  <si>
    <t>Nº334 -- Jueves 2 de julio de 2020</t>
  </si>
  <si>
    <t>Nº333 -- Jueves 25 de junio de 2020</t>
  </si>
  <si>
    <t>Nº332 -- Jueves 28 de mayo de 2020</t>
  </si>
  <si>
    <t>Nº331 -- Jueves 7 de mayo de 2020</t>
  </si>
  <si>
    <t>Nº330 -- Jueves 30 de abril de 2020</t>
  </si>
  <si>
    <t>Nº329 -- Jueves 23 de abril de 2020</t>
  </si>
  <si>
    <t>Nº328 -- Jueves 9 de abril de 2020</t>
  </si>
  <si>
    <t>Nº327 -- Jueves 26 de marzo de 2020</t>
  </si>
  <si>
    <t>Nº326 -- Jueves 19 de marzo de 2020</t>
  </si>
  <si>
    <t>Nº325 -- Jueves 12 de marzo de 2020</t>
  </si>
  <si>
    <t>Nº324 -- Jueves 5 de marzo de 2020</t>
  </si>
  <si>
    <t>Nº323 -- Jueves 27 de febrero de 2020</t>
  </si>
  <si>
    <t>Nº322 -- Jueves 20 de febrero de 2020</t>
  </si>
  <si>
    <t>Nº321 -- Jueves 13 de febrero de 2020</t>
  </si>
  <si>
    <t>Nº320 -- Jueves 6 de febrero de 2020</t>
  </si>
  <si>
    <t>Nº319 -- Jueves 30 de enero de 2020</t>
  </si>
  <si>
    <t>Nº318 -- Jueves 23 de enero de 2020</t>
  </si>
  <si>
    <t>Nº317 -- Jueves 16 de enero de 2020</t>
  </si>
  <si>
    <t>Nº316 -- Jueves 9 de enero de 2020</t>
  </si>
  <si>
    <t>Nº315 -- Jueves 2 de enero de 2020</t>
  </si>
  <si>
    <t>Nº314 -- Jueves 26 de diciembre de 2019</t>
  </si>
  <si>
    <t>Nº313 -- Jueves 19 de diciembre de 2019</t>
  </si>
  <si>
    <t>Nº312 -- Jueves 12 de diciembre de 2019</t>
  </si>
  <si>
    <t>Nº311 -- Jueves 05 de diciembre de 2019</t>
  </si>
  <si>
    <t>Nº310 -- Jueves 28 de noviembre de 2019</t>
  </si>
  <si>
    <t>Nº309 -- Jueves 21 de noviembre de 2019</t>
  </si>
  <si>
    <t>Nº308 -- Jueves 14 de noviembre de 2019</t>
  </si>
  <si>
    <t>Nº307 -- Jueves 7 de noviembre 2019</t>
  </si>
  <si>
    <t>Nº306 -- Jueves 31 de octubre de 2019</t>
  </si>
  <si>
    <t>Nº305 -- Jueves 24 de octubre de 2019</t>
  </si>
  <si>
    <t>Nº304 -- Jueves 17 de octubre de 2019</t>
  </si>
  <si>
    <t>Nº303 -- Jueves 10 de octubre de 2019</t>
  </si>
  <si>
    <t>Nº302 -- Jueves 3 de octubre de 2019</t>
  </si>
  <si>
    <t>Nº301 -- Jueves 19 de setiembre de 2019</t>
  </si>
  <si>
    <t>Nº300 -- Jueves 12 de setiembre de 2019</t>
  </si>
  <si>
    <t>Nº299 -- Jueves 05 de setiembre de 2019  </t>
  </si>
  <si>
    <t>Nº298 -- Jueves 29 de agosto de 2019</t>
  </si>
  <si>
    <t>Nº297 -- Jueves 22 de agosto de 2019</t>
  </si>
  <si>
    <t>Nº296 -- Jueves 15 de agosto de 2019</t>
  </si>
  <si>
    <t>Nº295 -- Jueves 1 de agosto de 2019</t>
  </si>
  <si>
    <t>Nº294 -- Jueves 25 de julio de 2019</t>
  </si>
  <si>
    <t>Nº293 -- Jueves 18 de julio de 2019 </t>
  </si>
  <si>
    <t>Nº292 -- Jueves 11 de julio de 2019</t>
  </si>
  <si>
    <t>Nº291 -- Jueves 4 de julio de 2019</t>
  </si>
  <si>
    <t>Nº290 -- Jueves 27 de junio de 2019</t>
  </si>
  <si>
    <t>Nº289 -- Jueves 20 de junio de 2019</t>
  </si>
  <si>
    <t>Nº288 -- Jueves 13 de junio de 2019</t>
  </si>
  <si>
    <t>Nº287 -- Jueves 6 de junio de 2019</t>
  </si>
  <si>
    <t>Nº286 -- Jueves 30 de mayo de 2019</t>
  </si>
  <si>
    <t>Nº285 -- Jueves 23 de mayo de 2019</t>
  </si>
  <si>
    <t>Nº284 -- Jueves 16 de mayo de 2019</t>
  </si>
  <si>
    <t>Nº283 -- Jueves 9 de mayo de 2019</t>
  </si>
  <si>
    <t>Nº282 -- Jueves 2 de mayo de 2019</t>
  </si>
  <si>
    <t>Nº281 -- Jueves 25 de abril de 2019</t>
  </si>
  <si>
    <t>Nº280 -- Jueves 18 de abril de 2019</t>
  </si>
  <si>
    <t>Nº279 -- Jueves 11 de abril de 2019</t>
  </si>
  <si>
    <t>Nº278-- Jueves 4 de abril de 2019</t>
  </si>
  <si>
    <t>Nº277-- Jueves 21 de marzo de 2019</t>
  </si>
  <si>
    <t>Nº276-- Jueves 14 de marzo de 2019</t>
  </si>
  <si>
    <t>Nº275 -- Jueves 7 de marzo de 2019</t>
  </si>
  <si>
    <t>Nº274 -- Jueves 28 de febrero de 2019</t>
  </si>
  <si>
    <t>Nº273 -- Jueves 21 de febrero de 2019</t>
  </si>
  <si>
    <t>Nº272 -- Jueves 14 de febrero de 2019</t>
  </si>
  <si>
    <t>Nº271 -- Jueves 7 de febrero de 2019</t>
  </si>
  <si>
    <t>Nº270 -- Jueves 31 de enero de 2019</t>
  </si>
  <si>
    <t>Nº269 -- Jueves 24 de enero de 2019</t>
  </si>
  <si>
    <t>Nº268 -- Jueves 17 de enero de 2019</t>
  </si>
  <si>
    <t>Nº267 -- Jueves 10 de enero de 2019</t>
  </si>
  <si>
    <t>Nº266 -- Jueves 3 de enero de 2019</t>
  </si>
  <si>
    <t>Nº265 -- Jueves 27 de diciembre 2018</t>
  </si>
  <si>
    <t>Nº264 -- Jueves 20 de diciembre de 2018</t>
  </si>
  <si>
    <t>Nº263 -- Jueves 13 de diciembre de 2018</t>
  </si>
  <si>
    <t>Nº262 -- Jueves 6 de diciembre de 2018</t>
  </si>
  <si>
    <t>Nº261 -- Jueves 29 de noviembre de 2018</t>
  </si>
  <si>
    <t>Nº260 -- Jueves 22 de noviembre de 2018</t>
  </si>
  <si>
    <t>Nº259 -- Jueves 14 de noviembre 2018</t>
  </si>
  <si>
    <t>Nº258 -- Jueves 8 de noviembre de 2018</t>
  </si>
  <si>
    <t>Nº257 -- Jueves 1 de noviembre de 2018</t>
  </si>
  <si>
    <t>Nº256 -- Jueves 25 de octubre de 2018</t>
  </si>
  <si>
    <t>Nº255 -- Jueves 18 de octubre de 2018</t>
  </si>
  <si>
    <t>Nº254 -- Jueves 11 de octubre de 2018</t>
  </si>
  <si>
    <t>Nº253 -- Jueves 4 de octubre de 2018</t>
  </si>
  <si>
    <t>Nº252 -- Jueves 27 de setiembre de 2018</t>
  </si>
  <si>
    <t>Nº251 -- Jueves 20 de setiembre de 2018</t>
  </si>
  <si>
    <t>Nº250 --Jueves 13 de setiembre de 2018</t>
  </si>
  <si>
    <t>Nº249 -- Jueves 06 de setiembre de 2018</t>
  </si>
  <si>
    <t>Nº248 -- Jueves 30 de agosto de 2018</t>
  </si>
  <si>
    <t>Nº247 -- Jueves 23 de agosto de 2018</t>
  </si>
  <si>
    <t>Nº246 -- Jueves 16 de agosto de 2018</t>
  </si>
  <si>
    <t>Nº245 -- Jueves 9 de agosto de 2018</t>
  </si>
  <si>
    <t>Nº244 -- Jueves 2 de agosto de 2018</t>
  </si>
  <si>
    <t>Nº243 -- Jueves 26 de julio de 2018</t>
  </si>
  <si>
    <t>Nº242 -- Jueves 19 de julio de 2018</t>
  </si>
  <si>
    <t>Nº241 -- Jueves 12 de julio de 2018</t>
  </si>
  <si>
    <t>Nº240 -- Jueves 05 de julio de 2018</t>
  </si>
  <si>
    <t>Nº239 -- Jueves 28 de junio de 2018</t>
  </si>
  <si>
    <t>Nº238 -- Jueves 21 de junio de 2018</t>
  </si>
  <si>
    <t>Nº237 -- Jueves 14 de junio de 2018</t>
  </si>
  <si>
    <t>Nº236 -- Jueves 7 de junio de 2018</t>
  </si>
  <si>
    <t>N°235 -- Jueves 31 de mayo de 2018</t>
  </si>
  <si>
    <t>Nº234 -- Jueves 24 de mayo de 2018</t>
  </si>
  <si>
    <t>Nº233 -- Jueves 17 de mayo de 2018</t>
  </si>
  <si>
    <t>Nº232 -- Jueves 10 de mayo de 2018</t>
  </si>
  <si>
    <t>Nº231 -- Jueves 26 de abril de 2018</t>
  </si>
  <si>
    <t>Nº230 -- Jueves 19 de abril de 2018</t>
  </si>
  <si>
    <t>Nº229 -- Jueves 12 de abril de 2018</t>
  </si>
  <si>
    <t>Nº228 -- Jueves 22 de marzo de 2018 </t>
  </si>
  <si>
    <t>Nº227 -- Jueves 15 de marzo de 2018</t>
  </si>
  <si>
    <t>Nº226 -- Jueves 8 de marzo de 2018</t>
  </si>
  <si>
    <t>Nº225 -- Jueves 1 de marzo de 2018</t>
  </si>
  <si>
    <t>Nº224 -- Jueves 8 de febrero de 2018</t>
  </si>
  <si>
    <t>Nº223 -- Jueves 1 de febrero de 2018</t>
  </si>
  <si>
    <t>Nº222 -- Jueves 25 de enero 2018</t>
  </si>
  <si>
    <t>Nº221 -- Jueves 21 de diciembre de 2017</t>
  </si>
  <si>
    <t>Nº220 -- Jueves 14 de diciembre 2017</t>
  </si>
  <si>
    <t>Nº219 -- Jueves 30 de noviembre de 2017</t>
  </si>
  <si>
    <t>Nº218 -- Jueves 23 de noviembre de 2017</t>
  </si>
  <si>
    <t>N°217 -- Jueves 16 de noviembre de 2017</t>
  </si>
  <si>
    <t>Nº216 -- Jueves 26 de octubre de 2017</t>
  </si>
  <si>
    <t>Nº215 -- Jueves 24 de agosto de 2017</t>
  </si>
  <si>
    <t>Nº214 -- Jueves 20 de julio de 2017</t>
  </si>
  <si>
    <t>Nº213 -- Jueves 6 de julio de 2017</t>
  </si>
  <si>
    <t>Nº212 -- Jueves 15 de junio de 2017</t>
  </si>
  <si>
    <t>Nº211 -- Jueves 18 de mayo de 2017</t>
  </si>
  <si>
    <t>Nº210 -- Jueves 11 de mayo de 2017</t>
  </si>
  <si>
    <t>Nº209 -- Jueves 4 de mayo de 2017</t>
  </si>
  <si>
    <t>Nº 208 -- Jueves 27 de abril de 2017</t>
  </si>
  <si>
    <t>Nº 207 -- Jueves 20 de abril de 2017</t>
  </si>
  <si>
    <t>Nº 206 -- Jueves 6 de abril de 2017</t>
  </si>
  <si>
    <t>Nº 205 -- Jueves 30 de marzo de 2017 </t>
  </si>
  <si>
    <t>Nº 204 -- Jueves 16 de marzo de 2017</t>
  </si>
  <si>
    <t>Nº 203 -- Jueves 23 de febrero de 2017</t>
  </si>
  <si>
    <t>Nº 202 -- Jueves 9 de febrero de 2017</t>
  </si>
  <si>
    <t>Nº 201 -- Jueves 2 de febrero de 2017</t>
  </si>
  <si>
    <t>Nº 200 -- Jueves 27 de enero de 2017</t>
  </si>
  <si>
    <t>Nº 199 -- Jueves 19 de enero de 2017</t>
  </si>
  <si>
    <t>Nº 198 -- Jueves 22 de diciembre de 2016</t>
  </si>
  <si>
    <t>Nº 197 -- Jueves 15 de diciembre de 2016</t>
  </si>
  <si>
    <t>Nº 196 -- Jueves 1 de diciembre de 2016</t>
  </si>
  <si>
    <t>Nº 195 -- Jueves 24 de noviembre de 2016</t>
  </si>
  <si>
    <t>Nº 194 --  Jueves 17 de noviembre de 2016</t>
  </si>
  <si>
    <t>Nº 193 -- Jueves 10 de noviembre de 2016</t>
  </si>
  <si>
    <t>Nº 192 -- Jueves 3 de noviembre de 2016</t>
  </si>
  <si>
    <t>Nº 191 -- Jueves 13 de octubre de 2016</t>
  </si>
  <si>
    <t>Nº 190 --  Jueves 6 de octubre de 2016</t>
  </si>
  <si>
    <t>Nº 189 -- Jueves 29 de setiembre de 2016</t>
  </si>
  <si>
    <t>Nº 188 -- Jueves 22 de setiembre de 2016</t>
  </si>
  <si>
    <t>Nº 187 -- Jueves 15 de setiembre de 2016</t>
  </si>
  <si>
    <t>Nº 186 -- Jueves 8 de setiembre de 2016</t>
  </si>
  <si>
    <t>Nº 185 -- Jueves 1 setiembre de 2016</t>
  </si>
  <si>
    <t>Nº 184 -- Jueves 25 de agosto de 2016</t>
  </si>
  <si>
    <t>Nº 183 -- Jueves 18 de agosto de 2016</t>
  </si>
  <si>
    <t>Nº 182 -- Jueves 11 de agosto de 2016</t>
  </si>
  <si>
    <t>Nº 181 -- Jueves 4 de agosto de 2016</t>
  </si>
  <si>
    <t>Nº 180 -- Jueves 28 de julio de 2016</t>
  </si>
  <si>
    <t>Nº 179 -- Jueves 21 de julio de 2016</t>
  </si>
  <si>
    <t>Nº 178 -- Jueves 14 de julio de 2016</t>
  </si>
  <si>
    <t>Nº 177 -- Jueves 7 de julio de 2016</t>
  </si>
  <si>
    <t>Nº 176 -- Jueves 29 de junio de 2016</t>
  </si>
  <si>
    <t>Nº 175 -- Jueves 23 de junio de 2016</t>
  </si>
  <si>
    <t>Nº 174 -- Jueves 16 de junio de 2016</t>
  </si>
  <si>
    <t>Nº 173 -- Jueves 9 de junio de 2016</t>
  </si>
  <si>
    <t>Nº 172 -- Jueves 2 de junio de 2016</t>
  </si>
  <si>
    <t>Nº 171 -- Jueves 26 de mayo de 2016</t>
  </si>
  <si>
    <t>Nº 170 -- Jueves 19 de mayo de 2016</t>
  </si>
  <si>
    <t>Nº 169 -- Jueves 12 de mayo de 2016</t>
  </si>
  <si>
    <t>Nº 168 -- Jueves 28 de abril de 2016 </t>
  </si>
  <si>
    <t>Nº 167 -- Jueves 21 de abril de 2016</t>
  </si>
  <si>
    <t>Nº 166 -- Jueves 14 de abril de 2016</t>
  </si>
  <si>
    <t>Nº 165 -- Jueves 7 de abril de 2016</t>
  </si>
  <si>
    <t>Nº 164 -- Jueves 31 de marzo de 2016</t>
  </si>
  <si>
    <t>Nº 163 --  Jueves 24 de marzo de 2016</t>
  </si>
  <si>
    <t>Nº 162 -- Jueves 17 de marzo de 2016</t>
  </si>
  <si>
    <t>Nº 161 -- Jueves 3 de marzo de 2016 </t>
  </si>
  <si>
    <t>Nº 160 -- Jueves 25 de febrero de 2016</t>
  </si>
  <si>
    <t>Nº 159 -- Jueves 18 de febrero de 2016</t>
  </si>
  <si>
    <t>Nº 158 -- Jueves 11 de febrero de 2016</t>
  </si>
  <si>
    <t>Nº 157 -- Jueves 4 de febrero de 2016</t>
  </si>
  <si>
    <t>Nº 156 -- Jueves 28 de enero de 2016</t>
  </si>
  <si>
    <t>Nº 155 -- Jueves 21 de enero de 2016</t>
  </si>
  <si>
    <t>Nº 154 -- Jueves 24 de diciembre de 2015</t>
  </si>
  <si>
    <t>Nº 153 -- Jueves 17 de diciembre de 2015</t>
  </si>
  <si>
    <t>Nº 152 -- Jueves 10 de diciembre de 2015</t>
  </si>
  <si>
    <t>Nº 151 -- Jueves 3 de diciembre de 2015</t>
  </si>
  <si>
    <t>Nº 150 -- Jueves 26 de noviembre 2015</t>
  </si>
  <si>
    <t>Nº 149 -- Jueves 5 de noviembre de 2015</t>
  </si>
  <si>
    <t>Nº 148 -- Jueves 29 de octubre de 2015</t>
  </si>
  <si>
    <t>Nº 147 -- Jueves 22 de octubre de 2015</t>
  </si>
  <si>
    <t>Nº 146 -- Jueves 8 de octubre de 2015</t>
  </si>
  <si>
    <t>Nº 145 -- Jueves 1 de octubre de 2015</t>
  </si>
  <si>
    <t>Nº 144 -- Jueves 24 de setiembre de 2015</t>
  </si>
  <si>
    <t>Nº 143 -- Jueves 17 de setiembre de 2015</t>
  </si>
  <si>
    <t>Nº 142 -- Jueves 10 de setiembre de 2015</t>
  </si>
  <si>
    <t>Nº 141 -- Jueves 03 de setiembre de 2015</t>
  </si>
  <si>
    <t>Nº 140 -- Jueves 27 de agosto de 2015</t>
  </si>
  <si>
    <t>Nº 139 -- Jueves 20 de agosto de 2015</t>
  </si>
  <si>
    <t>Nº 138 -- Jueves 06 de agosto de 2015</t>
  </si>
  <si>
    <t>Nº 137 -- Jueves 30 de julio de 2015</t>
  </si>
  <si>
    <t>Nº 136 -- Jueves 23 de julio de 2015</t>
  </si>
  <si>
    <t>Nº 135 -- Jueves 16 de julio de 2015</t>
  </si>
  <si>
    <t>Nº 134 -- Jueves 9 de julio de 2015</t>
  </si>
  <si>
    <t>Nº 133 -- Jueves 2 de julio de 2015</t>
  </si>
  <si>
    <t>Nº 132 -- Jueves 25 de junio de 2015</t>
  </si>
  <si>
    <t>Nº 131 -- Jueves 18 de junio de 2015</t>
  </si>
  <si>
    <t>Nº 130 -- Jueves 11 de junio de 2015</t>
  </si>
  <si>
    <t>Nº 129 -- Jueves 04 de junio de 2015</t>
  </si>
  <si>
    <t>Nº 128 -- Jueves 28 de mayo de 2015</t>
  </si>
  <si>
    <t>Nº 127 -- Jueves 21 de mayo de 2015</t>
  </si>
  <si>
    <t>Nº 126 -- Jueves 14 de mayo de 2015</t>
  </si>
  <si>
    <t>Nº 125 -- Jueves 23 de abril de 2015</t>
  </si>
  <si>
    <t>Nº 124 -- Jueves 16 de abril de 2015</t>
  </si>
  <si>
    <t>Nº 123 -- Jueves 9 de abril de 2015</t>
  </si>
  <si>
    <t>Nº 122 -- Jueves 2 de abril de 2015</t>
  </si>
  <si>
    <t>Nº 121 --  Jueves 26 de marzo de 2015</t>
  </si>
  <si>
    <t>Nº 120 -- Jueves 19 de marzo de 2015</t>
  </si>
  <si>
    <t>Nº 119 -- Jueves 12 de marzo de 2015</t>
  </si>
  <si>
    <t>Nº 118 -- Jueves 05 de marzo de 2015</t>
  </si>
  <si>
    <t>Nº 117 -- Jueves 26 de febrero de 2015</t>
  </si>
  <si>
    <t>Nº 116 -- Jueves 19 de febrero de 2015</t>
  </si>
  <si>
    <t>Nº 115 -- Jueves 12 de febrero de 2015-</t>
  </si>
  <si>
    <t>Nº 114 -- Jueves 18 de diciembre de 2014</t>
  </si>
  <si>
    <t>Nº 113 -- Jueves 11 de diciembre de 2014</t>
  </si>
  <si>
    <t>Nº 112 -- Jueves 4 de diciembre de 2014</t>
  </si>
  <si>
    <t>Nº 111 -- Jueves 27 de noviembre de 2014</t>
  </si>
  <si>
    <t>Nº 110 -- Jueves 20 de noviembre de 2014</t>
  </si>
  <si>
    <t>Nº 109 -- Jueves 13 de noviembre de 2014</t>
  </si>
  <si>
    <t>Nº 108 -- Jueves 06 de noviembre de 2014</t>
  </si>
  <si>
    <t>Nº 107 -- Jueves 30 de octubre de 2014</t>
  </si>
  <si>
    <t>Nº 106 -- Jueves 23 de octubre de 2014</t>
  </si>
  <si>
    <t>Nº 105 -- Jueves 15 de octubre de 2014</t>
  </si>
  <si>
    <t>Nº 104 -- Jueves 09 de octubre de 2014</t>
  </si>
  <si>
    <t>Nº 103 -- Jueves 02 de octubre de 2014</t>
  </si>
  <si>
    <t>Nº 102 -- Jueves 25 de setiembre de 2014</t>
  </si>
  <si>
    <t>Nº 101 -- Jueves 18 de setiembre de 2014</t>
  </si>
  <si>
    <t>Nº 100 -- Jueves 11 de setiembre de 2014</t>
  </si>
  <si>
    <t>Nº 99 -- Jueves 4 de setiembre de 2014</t>
  </si>
  <si>
    <t>Nº 98 -- Miércoles 28 de agosto de 2014</t>
  </si>
  <si>
    <t>Nº 97 -- Miércoles 21 de agosto de 2014</t>
  </si>
  <si>
    <t>N° 96 -- Miércoles 14 de agosto de 2014</t>
  </si>
  <si>
    <t>N° 95 -- Miércoles 7 de agosto de 2014</t>
  </si>
  <si>
    <t>N° 94 -- Miércoles 30 de julio de 2014</t>
  </si>
  <si>
    <t>N° 93 -- Miércoles 23 de julio de 2014</t>
  </si>
  <si>
    <t>N° 92 -- Miércoles 16 de julio de 2014</t>
  </si>
  <si>
    <t>N° 91 -- Miércoles 9 de julio de 2014</t>
  </si>
  <si>
    <t>N° 90 -- Miércoles 2 de julio de 2014</t>
  </si>
  <si>
    <t>N° 89 -- Miércoles 25 de junio de 2014</t>
  </si>
  <si>
    <t>N° 88 -- Miércoles 18 de junio de 2014</t>
  </si>
  <si>
    <t>N° 87 -- Miércoles 11 de junio de 2014</t>
  </si>
  <si>
    <t>N° 86 -- Miércoles 4 de junio de 2014</t>
  </si>
  <si>
    <t>N° 85 -- Miércoles 28 de mayo de 2014</t>
  </si>
  <si>
    <t>N° 84 -- Miércoles 21 de mayo de 2014</t>
  </si>
  <si>
    <t>N° 83 -- Miércoles 14 de mayo de 2014</t>
  </si>
  <si>
    <t>N° 82 -- Miércoles 7 de mayo de 2014</t>
  </si>
  <si>
    <t>N° 81 -- Miércoles 30 de abril de 2014</t>
  </si>
  <si>
    <t>N° 80 -- Miércoles 23 de abril de 2014</t>
  </si>
  <si>
    <t>N° 79 -- Miércoles 16 de abril de 2014</t>
  </si>
  <si>
    <t>N° 78 -- Miércoles 9 de abril de 2014</t>
  </si>
  <si>
    <t>N° 77 -- Miércoles 2 de abril de 2014</t>
  </si>
  <si>
    <t>N° 76 -- Miércoles 26 de marzo de 2014</t>
  </si>
  <si>
    <t>N° 75 -- Miércoles 19 de marzo de 2014</t>
  </si>
  <si>
    <t>N° 74 -- Miércoles 12 de marzo de 2014</t>
  </si>
  <si>
    <t>N° 73 -- Miércoles 5 de marzo de 2014</t>
  </si>
  <si>
    <t>Nº 72 -- Miércoles 26 de febrero de 2014</t>
  </si>
  <si>
    <t>N° 71 -- Miércoles 19 de febrero de 2014</t>
  </si>
  <si>
    <t>N° 70 -- Miércoles 12 de febrero de 2014</t>
  </si>
  <si>
    <t>N° 69 -- Miércoles 5 de febrero de 2014</t>
  </si>
  <si>
    <t>N° 68 -- Miércoles 29 de enero de 2014</t>
  </si>
  <si>
    <t>N° 67 -- Miércoles 22 de enero de 2014</t>
  </si>
  <si>
    <t>N° 66 -- Miércoles 15 de enero de 2014</t>
  </si>
  <si>
    <t>N° 65 -- Miércoles 18 de diciembre de 2013</t>
  </si>
  <si>
    <t>N° 64 -- Miércoles 11 de diciembre de 2013</t>
  </si>
  <si>
    <t>N° 63 -- Miércoles 4 de diciembre de 2013</t>
  </si>
  <si>
    <t>N° 62 -- Miércoles 27 de noviembre de 2013</t>
  </si>
  <si>
    <t>N° 61 -- Miércoles 20 de noviembre de 2013</t>
  </si>
  <si>
    <t>N° 60 -- Miércoles 13 de noviembre de 2013</t>
  </si>
  <si>
    <t>N° 59 -- Miércoles 6 de noviembre de 2013</t>
  </si>
  <si>
    <t>N° 58 -- Miércoles 30 de octubre de 2013</t>
  </si>
  <si>
    <t>N° 57 -- Miércoles 23 de octubre de 2013</t>
  </si>
  <si>
    <t>N° 56 -- Miércoles 16 de octubre de 2013</t>
  </si>
  <si>
    <t>N° 55 -- Miércoles 9 de octubre de 2013</t>
  </si>
  <si>
    <t>N° 54 -- Miércoles 2 de octubre de 2013</t>
  </si>
  <si>
    <t>N° 53 -- Miércoles 25 de setiembre de 2013</t>
  </si>
  <si>
    <t>N° 52 -- Miércoles 18 de setiembre de 2013</t>
  </si>
  <si>
    <t>N° 51 -- Miércoles 11 de setiembre de 2013</t>
  </si>
  <si>
    <t>N° 50 -- Miércoles 4 de setiembre de 2013</t>
  </si>
  <si>
    <t>N° 49 -- Miércoles 28 de agosto de 2013</t>
  </si>
  <si>
    <t>N° 48 -- Miércoles 21 de agosto de 2013</t>
  </si>
  <si>
    <t>N° 47 -- Miércoles 14 de agosto de 2013</t>
  </si>
  <si>
    <t>N° 46 -- Miércoles 7 de agosto de 2013</t>
  </si>
  <si>
    <t>N° 45 -- Miércoles 31 de julio de 2013</t>
  </si>
  <si>
    <t>N° 44 -- Miércoles 24 de julio de 2013</t>
  </si>
  <si>
    <t>N° 43 -- Miércoles 17 de julio de 2013</t>
  </si>
  <si>
    <t>N° 42 -- Miércoles 10 de julio de 2013</t>
  </si>
  <si>
    <t>N° 41 -- Miércoles 3 de julio de 2013</t>
  </si>
  <si>
    <t>N° 40 -- Miércoles 26 de junio de 2013</t>
  </si>
  <si>
    <t>N° 39 -- Miércoles 19 de junio de 2013</t>
  </si>
  <si>
    <t>N° 38 -- Miércoles 12 de junio de 2013</t>
  </si>
  <si>
    <t>N° 37 -- Miércoles 5 de junio de 2013</t>
  </si>
  <si>
    <t>N° 36 -- Miércoles 29 de mayo de 2013</t>
  </si>
  <si>
    <t>N° 35 -- Miércoles 22 de mayo de 2013</t>
  </si>
  <si>
    <t>N° 34 -- Miércoles 15 de mayo de 2013</t>
  </si>
  <si>
    <t>N° 33 -- Miércoles 8 de mayo de 2013</t>
  </si>
  <si>
    <t>N° 32 -- Miércoles 1 de mayo de 2013</t>
  </si>
  <si>
    <t>N° 31 -- Miércoles 24 de abril de 2013</t>
  </si>
  <si>
    <t>N° 30 -- Miércoles 17 de abril de 2013</t>
  </si>
  <si>
    <t>N° 29 -- Miércoles 10 de abril de 2013</t>
  </si>
  <si>
    <t>N° 28 -- Miércoles 3 de abril de 2013</t>
  </si>
  <si>
    <t>N° 27 -- Miércoles 27 de marzo de 2013</t>
  </si>
  <si>
    <t>N° 26 -- Miércoles 20 de marzo de 2013</t>
  </si>
  <si>
    <t>N° 25 -- Miércoles 13 de marzo de 2013</t>
  </si>
  <si>
    <t>N° 24 -- Miércoles 6 de marzo de 2013</t>
  </si>
  <si>
    <t>N° 23 -- Miércoles 27 de febrero de 2013</t>
  </si>
  <si>
    <t>N° 22 -- Miércoles 20 de febrero de 2013</t>
  </si>
  <si>
    <t>N° 21 -- Miércoles 13 de febrero de 2013</t>
  </si>
  <si>
    <t>N° 20 -- Miércoles 6 de febrero de 2013</t>
  </si>
  <si>
    <t>N° 19 -- Miércoles 30 de enero de 2013</t>
  </si>
  <si>
    <t>N° 18 -- Miércoles 23 de enero de 2013</t>
  </si>
  <si>
    <t>N° 17 -- Miércoles 16 de enero de 2013</t>
  </si>
  <si>
    <t>N° 16 -- Miércoles 9 de enero de 2013</t>
  </si>
  <si>
    <t>N° 15 -- Miércoles 19 de diciembre de 2012</t>
  </si>
  <si>
    <t>N° 14 -- Miércoles 12 de diciembre de 2012</t>
  </si>
  <si>
    <t>N° 13 -- Miércoles 5 de diciembre de 2012</t>
  </si>
  <si>
    <t>N° 12 -- Miércoles 28 de noviembre de 2012</t>
  </si>
  <si>
    <t>Nº 11 -- Miércoles 21 de noviembre de 2012</t>
  </si>
  <si>
    <t>N° 10 -- Miércoles 14 de noviembre de 2012</t>
  </si>
  <si>
    <t>N° 9 -- Miércoles 7 de noviembre de 2012</t>
  </si>
  <si>
    <t>N° 8 -- Miércoles 31 de octubre de 2012</t>
  </si>
  <si>
    <t>Nº 7 -- Miércoles 24 de octubre de 2012</t>
  </si>
  <si>
    <t>N° 6 -- Miércoles 17 de octubre de 2012</t>
  </si>
  <si>
    <t>N° 5 -- Miércoles 10 de octubre de 2012</t>
  </si>
  <si>
    <t>N° 4 -- Miércoles 3 de octubre de 2012</t>
  </si>
  <si>
    <t>N° 3 -- Miércoles 26 de setiembre de 2012</t>
  </si>
  <si>
    <t>N° 2 -- Miércoles 19 de setiembre de 2012</t>
  </si>
  <si>
    <t>N° 1 -- Miércoles 12 de setiembre de 2012</t>
  </si>
  <si>
    <t>F</t>
  </si>
  <si>
    <t>t</t>
  </si>
  <si>
    <t>setiembre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</si>
  <si>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</si>
  <si>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</si>
  <si>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</si>
  <si>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</si>
  <si>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</si>
  <si>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</si>
  <si>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</si>
  <si>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</si>
  <si>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</si>
  <si>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</si>
  <si>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</si>
  <si>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Mês</t>
  </si>
  <si>
    <t>Mês - Espanhol</t>
  </si>
  <si>
    <t>TITULO</t>
  </si>
  <si>
    <t>ORDENACAO</t>
  </si>
  <si>
    <t>Preço</t>
  </si>
  <si>
    <t>Data Relatório</t>
  </si>
  <si>
    <t>Data Ref Preço</t>
  </si>
  <si>
    <t>n° Relatório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</si>
</sst>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/>
    <xf numFmtId="14" fontId="0" fillId="2" borderId="0" xfId="0" applyNumberFormat="1" applyFill="1" applyAlignment="1">
      <alignment horizontal="center" vertical="center"/>
    </xf>
    <xf numFmtId="14" fontId="0" fillId="0" borderId="0" xfId="0" applyNumberFormat="1"/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5ED7A-56E7-42A2-85CF-D16E8423B85C}">
  <dimension ref="A1:F265"/>
  <sheetViews>
    <sheetView showGridLines="0" topLeftCell="A184" zoomScale="85" zoomScaleNormal="85" workbookViewId="0">
      <selection activeCell="A243" sqref="A243"/>
    </sheetView>
  </sheetViews>
  <sheetFormatPr defaultRowHeight="15" x14ac:dyDescent="0.2"/>
  <cols>
    <col min="1" max="1" width="37.80078125" bestFit="1" customWidth="1"/>
    <col min="2" max="2" width="11.703125" bestFit="1" customWidth="1"/>
    <col min="3" max="3" width="11.02734375" style="2" bestFit="1" customWidth="1"/>
    <col min="4" max="4" width="6.58984375" style="3" bestFit="1" customWidth="1"/>
  </cols>
  <sheetData>
    <row r="1" spans="1:6" x14ac:dyDescent="0.2">
      <c r="A1" s="1" t="s">
        <v>546</v>
      </c>
      <c r="B1" s="1" t="s">
        <v>547</v>
      </c>
      <c r="C1" s="1" t="s">
        <v>0</v>
      </c>
      <c r="D1" s="1" t="s">
        <v>1</v>
      </c>
      <c r="F1">
        <f>264/2</f>
        <v>132</v>
      </c>
    </row>
    <row r="2" spans="1:6" x14ac:dyDescent="0.2">
      <c r="A2" t="s">
        <v>529</v>
      </c>
      <c r="B2">
        <v>1</v>
      </c>
      <c r="C2" s="2">
        <v>41164</v>
      </c>
      <c r="D2" s="3">
        <v>12.8</v>
      </c>
    </row>
    <row r="3" spans="1:6" x14ac:dyDescent="0.2">
      <c r="A3" t="s">
        <v>528</v>
      </c>
      <c r="B3">
        <f t="shared" ref="B3:B34" si="0">IF(D3&gt;0,B2+1,"")</f>
        <v>2</v>
      </c>
      <c r="C3" s="2">
        <f>IF(D3&gt;0,C2+7,"")</f>
        <v>41171</v>
      </c>
      <c r="D3" s="3">
        <v>13</v>
      </c>
    </row>
    <row r="4" spans="1:6" x14ac:dyDescent="0.2">
      <c r="A4" t="s">
        <v>527</v>
      </c>
      <c r="B4">
        <f t="shared" si="0"/>
        <v>3</v>
      </c>
      <c r="C4" s="2">
        <f t="shared" ref="C4:C54" si="1">IF(D4&gt;0,C3+7,"")</f>
        <v>41178</v>
      </c>
      <c r="D4" s="3">
        <v>13</v>
      </c>
    </row>
    <row r="5" spans="1:6" x14ac:dyDescent="0.2">
      <c r="A5" t="s">
        <v>526</v>
      </c>
      <c r="B5">
        <f t="shared" si="0"/>
        <v>4</v>
      </c>
      <c r="C5" s="2">
        <v>41185</v>
      </c>
      <c r="D5" s="3">
        <v>13.1</v>
      </c>
    </row>
    <row r="6" spans="1:6" x14ac:dyDescent="0.2">
      <c r="A6" t="s">
        <v>525</v>
      </c>
      <c r="B6">
        <f t="shared" si="0"/>
        <v>5</v>
      </c>
      <c r="C6" s="2">
        <f t="shared" si="1"/>
        <v>41192</v>
      </c>
      <c r="D6" s="3">
        <v>13.2</v>
      </c>
    </row>
    <row r="7" spans="1:6" x14ac:dyDescent="0.2">
      <c r="A7" t="s">
        <v>524</v>
      </c>
      <c r="B7">
        <f t="shared" si="0"/>
        <v>6</v>
      </c>
      <c r="C7" s="2">
        <f t="shared" si="1"/>
        <v>41199</v>
      </c>
      <c r="D7" s="3">
        <v>13.25</v>
      </c>
    </row>
    <row r="8" spans="1:6" x14ac:dyDescent="0.2">
      <c r="A8" t="s">
        <v>523</v>
      </c>
      <c r="B8">
        <f t="shared" si="0"/>
        <v>7</v>
      </c>
      <c r="C8" s="2">
        <f t="shared" si="1"/>
        <v>41206</v>
      </c>
      <c r="D8" s="3">
        <v>13.2</v>
      </c>
    </row>
    <row r="9" spans="1:6" x14ac:dyDescent="0.2">
      <c r="A9" t="s">
        <v>522</v>
      </c>
      <c r="B9">
        <f t="shared" si="0"/>
        <v>8</v>
      </c>
      <c r="C9" s="2">
        <v>41213</v>
      </c>
      <c r="D9" s="3">
        <v>13.2</v>
      </c>
    </row>
    <row r="10" spans="1:6" x14ac:dyDescent="0.2">
      <c r="A10" t="s">
        <v>521</v>
      </c>
      <c r="B10">
        <f t="shared" si="0"/>
        <v>9</v>
      </c>
      <c r="C10" s="2">
        <f t="shared" si="1"/>
        <v>41220</v>
      </c>
      <c r="D10" s="3" t="s">
        <v>2</v>
      </c>
    </row>
    <row r="11" spans="1:6" x14ac:dyDescent="0.2">
      <c r="A11" t="s">
        <v>520</v>
      </c>
      <c r="B11">
        <f t="shared" si="0"/>
        <v>10</v>
      </c>
      <c r="C11" s="2">
        <f t="shared" si="1"/>
        <v>41227</v>
      </c>
      <c r="D11" s="3">
        <v>13.4</v>
      </c>
    </row>
    <row r="12" spans="1:6" x14ac:dyDescent="0.2">
      <c r="A12" t="s">
        <v>519</v>
      </c>
      <c r="B12">
        <f t="shared" si="0"/>
        <v>11</v>
      </c>
      <c r="C12" s="2">
        <f t="shared" si="1"/>
        <v>41234</v>
      </c>
      <c r="D12" s="3">
        <v>13.5</v>
      </c>
    </row>
    <row r="13" spans="1:6" x14ac:dyDescent="0.2">
      <c r="A13" t="s">
        <v>518</v>
      </c>
      <c r="B13">
        <f t="shared" si="0"/>
        <v>12</v>
      </c>
      <c r="C13" s="2">
        <f t="shared" si="1"/>
        <v>41241</v>
      </c>
      <c r="D13" s="3" t="s">
        <v>2</v>
      </c>
    </row>
    <row r="14" spans="1:6" x14ac:dyDescent="0.2">
      <c r="A14" t="s">
        <v>517</v>
      </c>
      <c r="B14">
        <f t="shared" si="0"/>
        <v>13</v>
      </c>
      <c r="C14" s="2">
        <f t="shared" si="1"/>
        <v>41248</v>
      </c>
      <c r="D14" s="3">
        <v>13.7</v>
      </c>
    </row>
    <row r="15" spans="1:6" x14ac:dyDescent="0.2">
      <c r="A15" t="s">
        <v>516</v>
      </c>
      <c r="B15">
        <f t="shared" si="0"/>
        <v>14</v>
      </c>
      <c r="C15" s="2">
        <f t="shared" si="1"/>
        <v>41255</v>
      </c>
      <c r="D15" s="3" t="s">
        <v>2</v>
      </c>
    </row>
    <row r="16" spans="1:6" x14ac:dyDescent="0.2">
      <c r="A16" t="s">
        <v>515</v>
      </c>
      <c r="B16">
        <f t="shared" si="0"/>
        <v>15</v>
      </c>
      <c r="C16" s="2">
        <f t="shared" si="1"/>
        <v>41262</v>
      </c>
      <c r="D16" s="3" t="s">
        <v>2</v>
      </c>
    </row>
    <row r="17" spans="1:4" x14ac:dyDescent="0.2">
      <c r="A17" t="s">
        <v>514</v>
      </c>
      <c r="B17">
        <f t="shared" si="0"/>
        <v>16</v>
      </c>
      <c r="C17" s="2">
        <v>41283</v>
      </c>
      <c r="D17" s="3" t="s">
        <v>2</v>
      </c>
    </row>
    <row r="18" spans="1:4" x14ac:dyDescent="0.2">
      <c r="A18" t="s">
        <v>513</v>
      </c>
      <c r="B18">
        <f t="shared" si="0"/>
        <v>17</v>
      </c>
      <c r="C18" s="2">
        <f t="shared" si="1"/>
        <v>41290</v>
      </c>
      <c r="D18" s="3">
        <v>13.2</v>
      </c>
    </row>
    <row r="19" spans="1:4" x14ac:dyDescent="0.2">
      <c r="A19" t="s">
        <v>512</v>
      </c>
      <c r="B19">
        <f t="shared" si="0"/>
        <v>18</v>
      </c>
      <c r="C19" s="2">
        <f t="shared" si="1"/>
        <v>41297</v>
      </c>
      <c r="D19" s="3" t="s">
        <v>2</v>
      </c>
    </row>
    <row r="20" spans="1:4" x14ac:dyDescent="0.2">
      <c r="A20" t="s">
        <v>511</v>
      </c>
      <c r="B20">
        <f t="shared" si="0"/>
        <v>19</v>
      </c>
      <c r="C20" s="2">
        <f t="shared" si="1"/>
        <v>41304</v>
      </c>
      <c r="D20" s="3" t="s">
        <v>2</v>
      </c>
    </row>
    <row r="21" spans="1:4" x14ac:dyDescent="0.2">
      <c r="A21" t="s">
        <v>510</v>
      </c>
      <c r="B21">
        <f t="shared" si="0"/>
        <v>20</v>
      </c>
      <c r="C21" s="2">
        <f t="shared" si="1"/>
        <v>41311</v>
      </c>
      <c r="D21" s="3" t="s">
        <v>2</v>
      </c>
    </row>
    <row r="22" spans="1:4" x14ac:dyDescent="0.2">
      <c r="A22" t="s">
        <v>509</v>
      </c>
      <c r="B22">
        <f t="shared" si="0"/>
        <v>21</v>
      </c>
      <c r="C22" s="2">
        <f t="shared" si="1"/>
        <v>41318</v>
      </c>
      <c r="D22" s="3" t="s">
        <v>2</v>
      </c>
    </row>
    <row r="23" spans="1:4" x14ac:dyDescent="0.2">
      <c r="A23" t="s">
        <v>508</v>
      </c>
      <c r="B23">
        <f t="shared" si="0"/>
        <v>22</v>
      </c>
      <c r="C23" s="2">
        <f t="shared" si="1"/>
        <v>41325</v>
      </c>
      <c r="D23" s="3" t="s">
        <v>2</v>
      </c>
    </row>
    <row r="24" spans="1:4" x14ac:dyDescent="0.2">
      <c r="A24" t="s">
        <v>507</v>
      </c>
      <c r="B24">
        <f t="shared" si="0"/>
        <v>23</v>
      </c>
      <c r="C24" s="2">
        <f t="shared" si="1"/>
        <v>41332</v>
      </c>
      <c r="D24" s="3" t="s">
        <v>2</v>
      </c>
    </row>
    <row r="25" spans="1:4" x14ac:dyDescent="0.2">
      <c r="A25" t="s">
        <v>506</v>
      </c>
      <c r="B25">
        <f t="shared" si="0"/>
        <v>24</v>
      </c>
      <c r="C25" s="2">
        <f t="shared" si="1"/>
        <v>41339</v>
      </c>
      <c r="D25" s="3">
        <v>3.22</v>
      </c>
    </row>
    <row r="26" spans="1:4" x14ac:dyDescent="0.2">
      <c r="A26" t="s">
        <v>505</v>
      </c>
      <c r="B26">
        <f t="shared" si="0"/>
        <v>25</v>
      </c>
      <c r="C26" s="2">
        <f t="shared" si="1"/>
        <v>41346</v>
      </c>
      <c r="D26" s="3" t="s">
        <v>2</v>
      </c>
    </row>
    <row r="27" spans="1:4" x14ac:dyDescent="0.2">
      <c r="A27" t="s">
        <v>504</v>
      </c>
      <c r="B27">
        <f t="shared" si="0"/>
        <v>26</v>
      </c>
      <c r="C27" s="2">
        <f t="shared" si="1"/>
        <v>41353</v>
      </c>
      <c r="D27" s="3" t="s">
        <v>2</v>
      </c>
    </row>
    <row r="28" spans="1:4" x14ac:dyDescent="0.2">
      <c r="A28" t="s">
        <v>503</v>
      </c>
      <c r="B28">
        <f t="shared" si="0"/>
        <v>27</v>
      </c>
      <c r="C28" s="2">
        <f t="shared" si="1"/>
        <v>41360</v>
      </c>
      <c r="D28" s="3">
        <v>3.1</v>
      </c>
    </row>
    <row r="29" spans="1:4" x14ac:dyDescent="0.2">
      <c r="A29" t="s">
        <v>502</v>
      </c>
      <c r="B29">
        <f t="shared" si="0"/>
        <v>28</v>
      </c>
      <c r="C29" s="2">
        <f t="shared" si="1"/>
        <v>41367</v>
      </c>
      <c r="D29" s="3" t="s">
        <v>2</v>
      </c>
    </row>
    <row r="30" spans="1:4" x14ac:dyDescent="0.2">
      <c r="A30" t="s">
        <v>501</v>
      </c>
      <c r="B30">
        <f t="shared" si="0"/>
        <v>29</v>
      </c>
      <c r="C30" s="2">
        <f t="shared" si="1"/>
        <v>41374</v>
      </c>
      <c r="D30" s="3" t="s">
        <v>2</v>
      </c>
    </row>
    <row r="31" spans="1:4" x14ac:dyDescent="0.2">
      <c r="A31" t="s">
        <v>500</v>
      </c>
      <c r="B31">
        <f t="shared" si="0"/>
        <v>30</v>
      </c>
      <c r="C31" s="2">
        <f t="shared" si="1"/>
        <v>41381</v>
      </c>
      <c r="D31" s="3" t="s">
        <v>2</v>
      </c>
    </row>
    <row r="32" spans="1:4" x14ac:dyDescent="0.2">
      <c r="A32" t="s">
        <v>499</v>
      </c>
      <c r="B32">
        <f t="shared" si="0"/>
        <v>31</v>
      </c>
      <c r="C32" s="2">
        <f t="shared" si="1"/>
        <v>41388</v>
      </c>
      <c r="D32" s="3" t="s">
        <v>2</v>
      </c>
    </row>
    <row r="33" spans="1:4" x14ac:dyDescent="0.2">
      <c r="A33" t="s">
        <v>498</v>
      </c>
      <c r="B33">
        <f t="shared" si="0"/>
        <v>32</v>
      </c>
      <c r="C33" s="2">
        <f t="shared" si="1"/>
        <v>41395</v>
      </c>
      <c r="D33" s="3">
        <v>2.95</v>
      </c>
    </row>
    <row r="34" spans="1:4" x14ac:dyDescent="0.2">
      <c r="A34" t="s">
        <v>497</v>
      </c>
      <c r="B34">
        <f t="shared" si="0"/>
        <v>33</v>
      </c>
      <c r="C34" s="2">
        <f t="shared" si="1"/>
        <v>41402</v>
      </c>
      <c r="D34" s="3" t="s">
        <v>2</v>
      </c>
    </row>
    <row r="35" spans="1:4" x14ac:dyDescent="0.2">
      <c r="A35" t="s">
        <v>496</v>
      </c>
      <c r="B35">
        <f t="shared" ref="B35:B54" si="2">IF(D35&gt;0,B34+1,"")</f>
        <v>34</v>
      </c>
      <c r="C35" s="2">
        <f t="shared" si="1"/>
        <v>41409</v>
      </c>
      <c r="D35" s="3">
        <v>2.85</v>
      </c>
    </row>
    <row r="36" spans="1:4" x14ac:dyDescent="0.2">
      <c r="A36" t="s">
        <v>495</v>
      </c>
      <c r="B36">
        <f t="shared" si="2"/>
        <v>35</v>
      </c>
      <c r="C36" s="2">
        <f t="shared" si="1"/>
        <v>41416</v>
      </c>
      <c r="D36" s="3">
        <v>2.85</v>
      </c>
    </row>
    <row r="37" spans="1:4" x14ac:dyDescent="0.2">
      <c r="A37" t="s">
        <v>494</v>
      </c>
      <c r="B37">
        <f t="shared" si="2"/>
        <v>36</v>
      </c>
      <c r="C37" s="2">
        <f t="shared" si="1"/>
        <v>41423</v>
      </c>
      <c r="D37" s="3" t="s">
        <v>2</v>
      </c>
    </row>
    <row r="38" spans="1:4" x14ac:dyDescent="0.2">
      <c r="A38" t="s">
        <v>493</v>
      </c>
      <c r="B38">
        <f t="shared" si="2"/>
        <v>37</v>
      </c>
      <c r="C38" s="2">
        <f t="shared" si="1"/>
        <v>41430</v>
      </c>
      <c r="D38" s="3">
        <v>2.9</v>
      </c>
    </row>
    <row r="39" spans="1:4" x14ac:dyDescent="0.2">
      <c r="A39" t="s">
        <v>492</v>
      </c>
      <c r="B39">
        <f t="shared" si="2"/>
        <v>38</v>
      </c>
      <c r="C39" s="2">
        <f t="shared" si="1"/>
        <v>41437</v>
      </c>
      <c r="D39" s="3" t="s">
        <v>2</v>
      </c>
    </row>
    <row r="40" spans="1:4" x14ac:dyDescent="0.2">
      <c r="A40" t="s">
        <v>491</v>
      </c>
      <c r="B40">
        <f t="shared" si="2"/>
        <v>39</v>
      </c>
      <c r="C40" s="2">
        <f t="shared" si="1"/>
        <v>41444</v>
      </c>
      <c r="D40" s="3">
        <v>2.9</v>
      </c>
    </row>
    <row r="41" spans="1:4" x14ac:dyDescent="0.2">
      <c r="A41" t="s">
        <v>490</v>
      </c>
      <c r="B41">
        <f t="shared" si="2"/>
        <v>40</v>
      </c>
      <c r="C41" s="2">
        <f t="shared" si="1"/>
        <v>41451</v>
      </c>
      <c r="D41" s="3">
        <v>2.95</v>
      </c>
    </row>
    <row r="42" spans="1:4" x14ac:dyDescent="0.2">
      <c r="A42" t="s">
        <v>489</v>
      </c>
      <c r="B42">
        <f t="shared" si="2"/>
        <v>41</v>
      </c>
      <c r="C42" s="2">
        <f t="shared" si="1"/>
        <v>41458</v>
      </c>
      <c r="D42" s="3">
        <v>2.92</v>
      </c>
    </row>
    <row r="43" spans="1:4" x14ac:dyDescent="0.2">
      <c r="A43" t="s">
        <v>488</v>
      </c>
      <c r="B43">
        <f t="shared" si="2"/>
        <v>42</v>
      </c>
      <c r="C43" s="2">
        <f t="shared" si="1"/>
        <v>41465</v>
      </c>
      <c r="D43" s="3">
        <v>2.92</v>
      </c>
    </row>
    <row r="44" spans="1:4" x14ac:dyDescent="0.2">
      <c r="A44" t="s">
        <v>487</v>
      </c>
      <c r="B44">
        <f t="shared" si="2"/>
        <v>43</v>
      </c>
      <c r="C44" s="2">
        <f t="shared" si="1"/>
        <v>41472</v>
      </c>
      <c r="D44" s="3">
        <v>2.95</v>
      </c>
    </row>
    <row r="45" spans="1:4" x14ac:dyDescent="0.2">
      <c r="A45" t="s">
        <v>486</v>
      </c>
      <c r="B45">
        <f t="shared" si="2"/>
        <v>44</v>
      </c>
      <c r="C45" s="2">
        <f t="shared" si="1"/>
        <v>41479</v>
      </c>
      <c r="D45" s="3">
        <v>2.95</v>
      </c>
    </row>
    <row r="46" spans="1:4" x14ac:dyDescent="0.2">
      <c r="A46" t="s">
        <v>485</v>
      </c>
      <c r="B46">
        <f t="shared" si="2"/>
        <v>45</v>
      </c>
      <c r="C46" s="2">
        <f t="shared" si="1"/>
        <v>41486</v>
      </c>
      <c r="D46" s="3">
        <v>2.9</v>
      </c>
    </row>
    <row r="47" spans="1:4" x14ac:dyDescent="0.2">
      <c r="A47" t="s">
        <v>484</v>
      </c>
      <c r="B47">
        <f t="shared" si="2"/>
        <v>46</v>
      </c>
      <c r="C47" s="2">
        <f t="shared" si="1"/>
        <v>41493</v>
      </c>
      <c r="D47" s="3">
        <v>2.95</v>
      </c>
    </row>
    <row r="48" spans="1:4" x14ac:dyDescent="0.2">
      <c r="A48" t="s">
        <v>483</v>
      </c>
      <c r="B48">
        <f t="shared" si="2"/>
        <v>47</v>
      </c>
      <c r="C48" s="2">
        <f t="shared" si="1"/>
        <v>41500</v>
      </c>
      <c r="D48" s="3">
        <v>2.95</v>
      </c>
    </row>
    <row r="49" spans="1:4" x14ac:dyDescent="0.2">
      <c r="A49" t="s">
        <v>482</v>
      </c>
      <c r="B49">
        <f t="shared" si="2"/>
        <v>48</v>
      </c>
      <c r="C49" s="2">
        <f t="shared" si="1"/>
        <v>41507</v>
      </c>
      <c r="D49" s="3" t="s">
        <v>2</v>
      </c>
    </row>
    <row r="50" spans="1:4" x14ac:dyDescent="0.2">
      <c r="A50" t="s">
        <v>481</v>
      </c>
      <c r="B50">
        <f t="shared" si="2"/>
        <v>49</v>
      </c>
      <c r="C50" s="2">
        <f t="shared" si="1"/>
        <v>41514</v>
      </c>
      <c r="D50" s="3" t="s">
        <v>2</v>
      </c>
    </row>
    <row r="51" spans="1:4" x14ac:dyDescent="0.2">
      <c r="A51" t="s">
        <v>480</v>
      </c>
      <c r="B51">
        <f t="shared" si="2"/>
        <v>50</v>
      </c>
      <c r="C51" s="2">
        <f t="shared" si="1"/>
        <v>41521</v>
      </c>
      <c r="D51" s="3">
        <v>3</v>
      </c>
    </row>
    <row r="52" spans="1:4" x14ac:dyDescent="0.2">
      <c r="A52" t="s">
        <v>479</v>
      </c>
      <c r="B52">
        <f t="shared" si="2"/>
        <v>51</v>
      </c>
      <c r="C52" s="2">
        <f t="shared" si="1"/>
        <v>41528</v>
      </c>
      <c r="D52" s="3" t="s">
        <v>2</v>
      </c>
    </row>
    <row r="53" spans="1:4" x14ac:dyDescent="0.2">
      <c r="A53" t="s">
        <v>478</v>
      </c>
      <c r="B53">
        <f t="shared" si="2"/>
        <v>52</v>
      </c>
      <c r="C53" s="2">
        <f t="shared" si="1"/>
        <v>41535</v>
      </c>
      <c r="D53" s="3">
        <v>3.05</v>
      </c>
    </row>
    <row r="54" spans="1:4" x14ac:dyDescent="0.2">
      <c r="A54" t="s">
        <v>477</v>
      </c>
      <c r="B54">
        <f t="shared" si="2"/>
        <v>53</v>
      </c>
      <c r="C54" s="2">
        <f t="shared" si="1"/>
        <v>41542</v>
      </c>
      <c r="D54" s="3">
        <v>3.1</v>
      </c>
    </row>
    <row r="55" spans="1:4" x14ac:dyDescent="0.2">
      <c r="A55" t="s">
        <v>476</v>
      </c>
      <c r="B55">
        <f>IF(A55&gt;0,B54+1,"")</f>
        <v>54</v>
      </c>
      <c r="C55" s="2">
        <f>IF(A55&gt;0,C54+7,"")</f>
        <v>41549</v>
      </c>
      <c r="D55" s="3">
        <v>3.15</v>
      </c>
    </row>
    <row r="56" spans="1:4" x14ac:dyDescent="0.2">
      <c r="A56" t="s">
        <v>475</v>
      </c>
      <c r="B56">
        <f t="shared" ref="B56:B119" si="3">IF(A56&gt;0,B55+1,"")</f>
        <v>55</v>
      </c>
      <c r="C56" s="2">
        <f t="shared" ref="C56:C119" si="4">IF(A56&gt;0,C55+7,"")</f>
        <v>41556</v>
      </c>
      <c r="D56" s="3">
        <v>3.2</v>
      </c>
    </row>
    <row r="57" spans="1:4" x14ac:dyDescent="0.2">
      <c r="A57" t="s">
        <v>474</v>
      </c>
      <c r="B57">
        <f t="shared" si="3"/>
        <v>56</v>
      </c>
      <c r="C57" s="2">
        <f t="shared" si="4"/>
        <v>41563</v>
      </c>
      <c r="D57" s="3">
        <v>3.25</v>
      </c>
    </row>
    <row r="58" spans="1:4" x14ac:dyDescent="0.2">
      <c r="A58" t="s">
        <v>473</v>
      </c>
      <c r="B58">
        <f t="shared" si="3"/>
        <v>57</v>
      </c>
      <c r="C58" s="2">
        <f t="shared" si="4"/>
        <v>41570</v>
      </c>
      <c r="D58" s="3">
        <v>3.4</v>
      </c>
    </row>
    <row r="59" spans="1:4" x14ac:dyDescent="0.2">
      <c r="A59" t="s">
        <v>472</v>
      </c>
      <c r="B59">
        <f t="shared" si="3"/>
        <v>58</v>
      </c>
      <c r="C59" s="2">
        <f t="shared" si="4"/>
        <v>41577</v>
      </c>
      <c r="D59" s="3">
        <v>3.45</v>
      </c>
    </row>
    <row r="60" spans="1:4" x14ac:dyDescent="0.2">
      <c r="A60" t="s">
        <v>471</v>
      </c>
      <c r="B60">
        <f t="shared" si="3"/>
        <v>59</v>
      </c>
      <c r="C60" s="2">
        <f t="shared" si="4"/>
        <v>41584</v>
      </c>
      <c r="D60" s="3">
        <v>3.45</v>
      </c>
    </row>
    <row r="61" spans="1:4" x14ac:dyDescent="0.2">
      <c r="A61" t="s">
        <v>470</v>
      </c>
      <c r="B61">
        <f t="shared" si="3"/>
        <v>60</v>
      </c>
      <c r="C61" s="2">
        <f t="shared" si="4"/>
        <v>41591</v>
      </c>
      <c r="D61" s="3">
        <v>3.3</v>
      </c>
    </row>
    <row r="62" spans="1:4" x14ac:dyDescent="0.2">
      <c r="A62" t="s">
        <v>469</v>
      </c>
      <c r="B62">
        <f t="shared" si="3"/>
        <v>61</v>
      </c>
      <c r="C62" s="2">
        <f t="shared" si="4"/>
        <v>41598</v>
      </c>
      <c r="D62" s="3">
        <v>3.25</v>
      </c>
    </row>
    <row r="63" spans="1:4" x14ac:dyDescent="0.2">
      <c r="A63" t="s">
        <v>468</v>
      </c>
      <c r="B63">
        <f t="shared" si="3"/>
        <v>62</v>
      </c>
      <c r="C63" s="2">
        <f t="shared" si="4"/>
        <v>41605</v>
      </c>
      <c r="D63" s="3">
        <v>3.15</v>
      </c>
    </row>
    <row r="64" spans="1:4" x14ac:dyDescent="0.2">
      <c r="A64" t="s">
        <v>467</v>
      </c>
      <c r="B64">
        <f t="shared" si="3"/>
        <v>63</v>
      </c>
      <c r="C64" s="2">
        <f t="shared" si="4"/>
        <v>41612</v>
      </c>
      <c r="D64" s="3">
        <v>3.2</v>
      </c>
    </row>
    <row r="65" spans="1:4" x14ac:dyDescent="0.2">
      <c r="A65" t="s">
        <v>466</v>
      </c>
      <c r="B65">
        <f t="shared" si="3"/>
        <v>64</v>
      </c>
      <c r="C65" s="2">
        <f t="shared" si="4"/>
        <v>41619</v>
      </c>
      <c r="D65" s="3">
        <v>3.15</v>
      </c>
    </row>
    <row r="66" spans="1:4" x14ac:dyDescent="0.2">
      <c r="A66" t="s">
        <v>465</v>
      </c>
      <c r="B66">
        <f t="shared" si="3"/>
        <v>65</v>
      </c>
      <c r="C66" s="2">
        <f t="shared" si="4"/>
        <v>41626</v>
      </c>
      <c r="D66" s="3">
        <v>3.15</v>
      </c>
    </row>
    <row r="67" spans="1:4" x14ac:dyDescent="0.2">
      <c r="A67" t="s">
        <v>464</v>
      </c>
      <c r="B67">
        <f t="shared" si="3"/>
        <v>66</v>
      </c>
      <c r="C67" s="2">
        <v>41654</v>
      </c>
      <c r="D67" s="3" t="s">
        <v>2</v>
      </c>
    </row>
    <row r="68" spans="1:4" x14ac:dyDescent="0.2">
      <c r="A68" t="s">
        <v>463</v>
      </c>
      <c r="B68">
        <f t="shared" si="3"/>
        <v>67</v>
      </c>
      <c r="C68" s="2">
        <f t="shared" si="4"/>
        <v>41661</v>
      </c>
      <c r="D68" s="3">
        <v>3.3</v>
      </c>
    </row>
    <row r="69" spans="1:4" x14ac:dyDescent="0.2">
      <c r="A69" t="s">
        <v>462</v>
      </c>
      <c r="B69">
        <f t="shared" si="3"/>
        <v>68</v>
      </c>
      <c r="C69" s="2">
        <f t="shared" si="4"/>
        <v>41668</v>
      </c>
      <c r="D69" s="3">
        <v>3.3</v>
      </c>
    </row>
    <row r="70" spans="1:4" x14ac:dyDescent="0.2">
      <c r="A70" t="s">
        <v>461</v>
      </c>
      <c r="B70">
        <f t="shared" si="3"/>
        <v>69</v>
      </c>
      <c r="C70" s="2">
        <f t="shared" si="4"/>
        <v>41675</v>
      </c>
      <c r="D70" s="3">
        <v>3.15</v>
      </c>
    </row>
    <row r="71" spans="1:4" x14ac:dyDescent="0.2">
      <c r="A71" t="s">
        <v>460</v>
      </c>
      <c r="B71">
        <f t="shared" si="3"/>
        <v>70</v>
      </c>
      <c r="C71" s="2">
        <f t="shared" si="4"/>
        <v>41682</v>
      </c>
      <c r="D71" s="3" t="s">
        <v>2</v>
      </c>
    </row>
    <row r="72" spans="1:4" x14ac:dyDescent="0.2">
      <c r="A72" t="s">
        <v>459</v>
      </c>
      <c r="B72">
        <f t="shared" si="3"/>
        <v>71</v>
      </c>
      <c r="C72" s="2">
        <f t="shared" si="4"/>
        <v>41689</v>
      </c>
      <c r="D72" s="3">
        <v>3.15</v>
      </c>
    </row>
    <row r="73" spans="1:4" x14ac:dyDescent="0.2">
      <c r="A73" t="s">
        <v>458</v>
      </c>
      <c r="B73">
        <f t="shared" si="3"/>
        <v>72</v>
      </c>
      <c r="C73" s="2">
        <f t="shared" si="4"/>
        <v>41696</v>
      </c>
      <c r="D73" s="3">
        <v>3.1</v>
      </c>
    </row>
    <row r="74" spans="1:4" x14ac:dyDescent="0.2">
      <c r="A74" t="s">
        <v>457</v>
      </c>
      <c r="B74">
        <f t="shared" si="3"/>
        <v>73</v>
      </c>
      <c r="C74" s="2">
        <f t="shared" si="4"/>
        <v>41703</v>
      </c>
      <c r="D74" s="3">
        <v>3.05</v>
      </c>
    </row>
    <row r="75" spans="1:4" x14ac:dyDescent="0.2">
      <c r="A75" t="s">
        <v>456</v>
      </c>
      <c r="B75">
        <f t="shared" si="3"/>
        <v>74</v>
      </c>
      <c r="C75" s="2">
        <f t="shared" si="4"/>
        <v>41710</v>
      </c>
      <c r="D75" s="3">
        <v>3.05</v>
      </c>
    </row>
    <row r="76" spans="1:4" x14ac:dyDescent="0.2">
      <c r="A76" t="s">
        <v>455</v>
      </c>
      <c r="B76">
        <f t="shared" si="3"/>
        <v>75</v>
      </c>
      <c r="C76" s="2">
        <f t="shared" si="4"/>
        <v>41717</v>
      </c>
      <c r="D76" s="3">
        <v>3.05</v>
      </c>
    </row>
    <row r="77" spans="1:4" x14ac:dyDescent="0.2">
      <c r="A77" t="s">
        <v>454</v>
      </c>
      <c r="B77">
        <f t="shared" si="3"/>
        <v>76</v>
      </c>
      <c r="C77" s="2">
        <f t="shared" si="4"/>
        <v>41724</v>
      </c>
      <c r="D77" s="3">
        <v>3.1</v>
      </c>
    </row>
    <row r="78" spans="1:4" x14ac:dyDescent="0.2">
      <c r="A78" t="s">
        <v>453</v>
      </c>
      <c r="B78">
        <f t="shared" si="3"/>
        <v>77</v>
      </c>
      <c r="C78" s="2">
        <f t="shared" si="4"/>
        <v>41731</v>
      </c>
      <c r="D78" s="3">
        <v>3.1</v>
      </c>
    </row>
    <row r="79" spans="1:4" x14ac:dyDescent="0.2">
      <c r="A79" t="s">
        <v>452</v>
      </c>
      <c r="B79">
        <f t="shared" si="3"/>
        <v>78</v>
      </c>
      <c r="C79" s="2">
        <f t="shared" si="4"/>
        <v>41738</v>
      </c>
      <c r="D79" s="3">
        <v>3.2</v>
      </c>
    </row>
    <row r="80" spans="1:4" x14ac:dyDescent="0.2">
      <c r="A80" t="s">
        <v>451</v>
      </c>
      <c r="B80">
        <f t="shared" si="3"/>
        <v>79</v>
      </c>
      <c r="C80" s="2">
        <f t="shared" si="4"/>
        <v>41745</v>
      </c>
      <c r="D80" s="3">
        <v>3.2</v>
      </c>
    </row>
    <row r="81" spans="1:4" x14ac:dyDescent="0.2">
      <c r="A81" t="s">
        <v>450</v>
      </c>
      <c r="B81">
        <f t="shared" si="3"/>
        <v>80</v>
      </c>
      <c r="C81" s="2">
        <f t="shared" si="4"/>
        <v>41752</v>
      </c>
      <c r="D81" s="3">
        <v>3.15</v>
      </c>
    </row>
    <row r="82" spans="1:4" x14ac:dyDescent="0.2">
      <c r="A82" t="s">
        <v>449</v>
      </c>
      <c r="B82">
        <f t="shared" si="3"/>
        <v>81</v>
      </c>
      <c r="C82" s="2">
        <f t="shared" si="4"/>
        <v>41759</v>
      </c>
      <c r="D82" s="3">
        <v>3.15</v>
      </c>
    </row>
    <row r="83" spans="1:4" x14ac:dyDescent="0.2">
      <c r="A83" t="s">
        <v>448</v>
      </c>
      <c r="B83">
        <f t="shared" si="3"/>
        <v>82</v>
      </c>
      <c r="C83" s="2">
        <f t="shared" si="4"/>
        <v>41766</v>
      </c>
      <c r="D83" s="3">
        <v>3.15</v>
      </c>
    </row>
    <row r="84" spans="1:4" x14ac:dyDescent="0.2">
      <c r="A84" t="s">
        <v>447</v>
      </c>
      <c r="B84">
        <f t="shared" si="3"/>
        <v>83</v>
      </c>
      <c r="C84" s="2">
        <f t="shared" si="4"/>
        <v>41773</v>
      </c>
      <c r="D84" s="3">
        <v>3.15</v>
      </c>
    </row>
    <row r="85" spans="1:4" x14ac:dyDescent="0.2">
      <c r="A85" t="s">
        <v>446</v>
      </c>
      <c r="B85">
        <f t="shared" si="3"/>
        <v>84</v>
      </c>
      <c r="C85" s="2">
        <f t="shared" si="4"/>
        <v>41780</v>
      </c>
      <c r="D85" s="3">
        <v>3.15</v>
      </c>
    </row>
    <row r="86" spans="1:4" x14ac:dyDescent="0.2">
      <c r="A86" t="s">
        <v>445</v>
      </c>
      <c r="B86">
        <f t="shared" si="3"/>
        <v>85</v>
      </c>
      <c r="C86" s="2">
        <f t="shared" si="4"/>
        <v>41787</v>
      </c>
      <c r="D86" s="3">
        <v>3.15</v>
      </c>
    </row>
    <row r="87" spans="1:4" x14ac:dyDescent="0.2">
      <c r="A87" t="s">
        <v>444</v>
      </c>
      <c r="B87">
        <f t="shared" si="3"/>
        <v>86</v>
      </c>
      <c r="C87" s="2">
        <f t="shared" si="4"/>
        <v>41794</v>
      </c>
      <c r="D87" s="3">
        <v>3.18</v>
      </c>
    </row>
    <row r="88" spans="1:4" x14ac:dyDescent="0.2">
      <c r="A88" t="s">
        <v>443</v>
      </c>
      <c r="B88">
        <f t="shared" si="3"/>
        <v>87</v>
      </c>
      <c r="C88" s="2">
        <f t="shared" si="4"/>
        <v>41801</v>
      </c>
      <c r="D88" s="3">
        <v>3.2</v>
      </c>
    </row>
    <row r="89" spans="1:4" x14ac:dyDescent="0.2">
      <c r="A89" s="4" t="s">
        <v>442</v>
      </c>
      <c r="B89" s="4">
        <f t="shared" si="3"/>
        <v>88</v>
      </c>
      <c r="C89" s="5">
        <f t="shared" si="4"/>
        <v>41808</v>
      </c>
      <c r="D89" s="3">
        <v>3.25</v>
      </c>
    </row>
    <row r="90" spans="1:4" x14ac:dyDescent="0.2">
      <c r="A90" t="s">
        <v>441</v>
      </c>
      <c r="B90">
        <f t="shared" si="3"/>
        <v>89</v>
      </c>
      <c r="C90" s="2">
        <f t="shared" si="4"/>
        <v>41815</v>
      </c>
    </row>
    <row r="91" spans="1:4" x14ac:dyDescent="0.2">
      <c r="A91" t="s">
        <v>440</v>
      </c>
      <c r="B91">
        <f t="shared" si="3"/>
        <v>90</v>
      </c>
      <c r="C91" s="2">
        <f t="shared" si="4"/>
        <v>41822</v>
      </c>
    </row>
    <row r="92" spans="1:4" x14ac:dyDescent="0.2">
      <c r="A92" t="s">
        <v>439</v>
      </c>
      <c r="B92">
        <f t="shared" si="3"/>
        <v>91</v>
      </c>
      <c r="C92" s="2">
        <f t="shared" si="4"/>
        <v>41829</v>
      </c>
    </row>
    <row r="93" spans="1:4" x14ac:dyDescent="0.2">
      <c r="A93" t="s">
        <v>438</v>
      </c>
      <c r="B93">
        <f t="shared" si="3"/>
        <v>92</v>
      </c>
      <c r="C93" s="2">
        <f t="shared" si="4"/>
        <v>41836</v>
      </c>
    </row>
    <row r="94" spans="1:4" x14ac:dyDescent="0.2">
      <c r="A94" t="s">
        <v>437</v>
      </c>
      <c r="B94">
        <f t="shared" si="3"/>
        <v>93</v>
      </c>
      <c r="C94" s="2">
        <f t="shared" si="4"/>
        <v>41843</v>
      </c>
    </row>
    <row r="95" spans="1:4" x14ac:dyDescent="0.2">
      <c r="A95" t="s">
        <v>436</v>
      </c>
      <c r="B95">
        <f t="shared" si="3"/>
        <v>94</v>
      </c>
      <c r="C95" s="2">
        <f t="shared" si="4"/>
        <v>41850</v>
      </c>
    </row>
    <row r="96" spans="1:4" x14ac:dyDescent="0.2">
      <c r="A96" t="s">
        <v>435</v>
      </c>
      <c r="B96">
        <f t="shared" si="3"/>
        <v>95</v>
      </c>
      <c r="C96" s="2">
        <f t="shared" si="4"/>
        <v>41857</v>
      </c>
    </row>
    <row r="97" spans="1:3" x14ac:dyDescent="0.2">
      <c r="A97" t="s">
        <v>434</v>
      </c>
      <c r="B97">
        <f t="shared" si="3"/>
        <v>96</v>
      </c>
      <c r="C97" s="2">
        <f t="shared" si="4"/>
        <v>41864</v>
      </c>
    </row>
    <row r="98" spans="1:3" x14ac:dyDescent="0.2">
      <c r="A98" t="s">
        <v>433</v>
      </c>
      <c r="B98">
        <f t="shared" si="3"/>
        <v>97</v>
      </c>
      <c r="C98" s="2">
        <f t="shared" si="4"/>
        <v>41871</v>
      </c>
    </row>
    <row r="99" spans="1:3" x14ac:dyDescent="0.2">
      <c r="A99" t="s">
        <v>432</v>
      </c>
      <c r="B99">
        <f t="shared" si="3"/>
        <v>98</v>
      </c>
      <c r="C99" s="2">
        <f t="shared" si="4"/>
        <v>41878</v>
      </c>
    </row>
    <row r="100" spans="1:3" x14ac:dyDescent="0.2">
      <c r="A100" t="s">
        <v>431</v>
      </c>
      <c r="B100">
        <f t="shared" si="3"/>
        <v>99</v>
      </c>
      <c r="C100" s="2">
        <f t="shared" si="4"/>
        <v>41885</v>
      </c>
    </row>
    <row r="101" spans="1:3" x14ac:dyDescent="0.2">
      <c r="A101" t="s">
        <v>430</v>
      </c>
      <c r="B101">
        <f t="shared" si="3"/>
        <v>100</v>
      </c>
      <c r="C101" s="2">
        <f t="shared" si="4"/>
        <v>41892</v>
      </c>
    </row>
    <row r="102" spans="1:3" x14ac:dyDescent="0.2">
      <c r="A102" t="s">
        <v>429</v>
      </c>
      <c r="B102">
        <f t="shared" si="3"/>
        <v>101</v>
      </c>
      <c r="C102" s="2">
        <f t="shared" si="4"/>
        <v>41899</v>
      </c>
    </row>
    <row r="103" spans="1:3" x14ac:dyDescent="0.2">
      <c r="A103" t="s">
        <v>428</v>
      </c>
      <c r="B103">
        <f t="shared" si="3"/>
        <v>102</v>
      </c>
      <c r="C103" s="2">
        <f t="shared" si="4"/>
        <v>41906</v>
      </c>
    </row>
    <row r="104" spans="1:3" x14ac:dyDescent="0.2">
      <c r="A104" t="s">
        <v>427</v>
      </c>
      <c r="B104">
        <f t="shared" si="3"/>
        <v>103</v>
      </c>
      <c r="C104" s="2">
        <f t="shared" si="4"/>
        <v>41913</v>
      </c>
    </row>
    <row r="105" spans="1:3" x14ac:dyDescent="0.2">
      <c r="A105" t="s">
        <v>426</v>
      </c>
      <c r="B105">
        <f t="shared" si="3"/>
        <v>104</v>
      </c>
      <c r="C105" s="2">
        <f t="shared" si="4"/>
        <v>41920</v>
      </c>
    </row>
    <row r="106" spans="1:3" x14ac:dyDescent="0.2">
      <c r="A106" t="s">
        <v>425</v>
      </c>
      <c r="B106">
        <f t="shared" si="3"/>
        <v>105</v>
      </c>
      <c r="C106" s="2">
        <f t="shared" si="4"/>
        <v>41927</v>
      </c>
    </row>
    <row r="107" spans="1:3" x14ac:dyDescent="0.2">
      <c r="A107" t="s">
        <v>424</v>
      </c>
      <c r="B107">
        <f t="shared" si="3"/>
        <v>106</v>
      </c>
      <c r="C107" s="2">
        <f t="shared" si="4"/>
        <v>41934</v>
      </c>
    </row>
    <row r="108" spans="1:3" x14ac:dyDescent="0.2">
      <c r="A108" t="s">
        <v>423</v>
      </c>
      <c r="B108">
        <f t="shared" si="3"/>
        <v>107</v>
      </c>
      <c r="C108" s="2">
        <f t="shared" si="4"/>
        <v>41941</v>
      </c>
    </row>
    <row r="109" spans="1:3" x14ac:dyDescent="0.2">
      <c r="A109" t="s">
        <v>422</v>
      </c>
      <c r="B109">
        <f t="shared" si="3"/>
        <v>108</v>
      </c>
      <c r="C109" s="2">
        <f t="shared" si="4"/>
        <v>41948</v>
      </c>
    </row>
    <row r="110" spans="1:3" x14ac:dyDescent="0.2">
      <c r="A110" t="s">
        <v>421</v>
      </c>
      <c r="B110">
        <f t="shared" si="3"/>
        <v>109</v>
      </c>
      <c r="C110" s="2">
        <f t="shared" si="4"/>
        <v>41955</v>
      </c>
    </row>
    <row r="111" spans="1:3" x14ac:dyDescent="0.2">
      <c r="A111" t="s">
        <v>420</v>
      </c>
      <c r="B111">
        <f t="shared" si="3"/>
        <v>110</v>
      </c>
      <c r="C111" s="2">
        <f t="shared" si="4"/>
        <v>41962</v>
      </c>
    </row>
    <row r="112" spans="1:3" x14ac:dyDescent="0.2">
      <c r="A112" t="s">
        <v>419</v>
      </c>
      <c r="B112">
        <f t="shared" si="3"/>
        <v>111</v>
      </c>
      <c r="C112" s="2">
        <f t="shared" si="4"/>
        <v>41969</v>
      </c>
    </row>
    <row r="113" spans="1:3" x14ac:dyDescent="0.2">
      <c r="A113" t="s">
        <v>418</v>
      </c>
      <c r="B113">
        <f t="shared" si="3"/>
        <v>112</v>
      </c>
      <c r="C113" s="2">
        <f t="shared" si="4"/>
        <v>41976</v>
      </c>
    </row>
    <row r="114" spans="1:3" x14ac:dyDescent="0.2">
      <c r="A114" t="s">
        <v>417</v>
      </c>
      <c r="B114">
        <f t="shared" si="3"/>
        <v>113</v>
      </c>
      <c r="C114" s="2">
        <f t="shared" si="4"/>
        <v>41983</v>
      </c>
    </row>
    <row r="115" spans="1:3" x14ac:dyDescent="0.2">
      <c r="A115" t="s">
        <v>416</v>
      </c>
      <c r="B115">
        <f t="shared" si="3"/>
        <v>114</v>
      </c>
      <c r="C115" s="2">
        <f t="shared" si="4"/>
        <v>41990</v>
      </c>
    </row>
    <row r="116" spans="1:3" x14ac:dyDescent="0.2">
      <c r="A116" t="s">
        <v>415</v>
      </c>
      <c r="B116">
        <f t="shared" si="3"/>
        <v>115</v>
      </c>
      <c r="C116" s="2">
        <f t="shared" si="4"/>
        <v>41997</v>
      </c>
    </row>
    <row r="117" spans="1:3" x14ac:dyDescent="0.2">
      <c r="A117" t="s">
        <v>414</v>
      </c>
      <c r="B117">
        <f t="shared" si="3"/>
        <v>116</v>
      </c>
      <c r="C117" s="2">
        <f t="shared" si="4"/>
        <v>42004</v>
      </c>
    </row>
    <row r="118" spans="1:3" x14ac:dyDescent="0.2">
      <c r="A118" t="s">
        <v>413</v>
      </c>
      <c r="B118">
        <f t="shared" si="3"/>
        <v>117</v>
      </c>
      <c r="C118" s="2">
        <f t="shared" si="4"/>
        <v>42011</v>
      </c>
    </row>
    <row r="119" spans="1:3" x14ac:dyDescent="0.2">
      <c r="A119" t="s">
        <v>412</v>
      </c>
      <c r="B119">
        <f t="shared" si="3"/>
        <v>118</v>
      </c>
      <c r="C119" s="2">
        <f t="shared" si="4"/>
        <v>42018</v>
      </c>
    </row>
    <row r="120" spans="1:3" x14ac:dyDescent="0.2">
      <c r="A120" t="s">
        <v>411</v>
      </c>
      <c r="B120">
        <f t="shared" ref="B120:B183" si="5">IF(A120&gt;0,B119+1,"")</f>
        <v>119</v>
      </c>
      <c r="C120" s="2">
        <f t="shared" ref="C120:C183" si="6">IF(A120&gt;0,C119+7,"")</f>
        <v>42025</v>
      </c>
    </row>
    <row r="121" spans="1:3" x14ac:dyDescent="0.2">
      <c r="A121" t="s">
        <v>410</v>
      </c>
      <c r="B121">
        <f t="shared" si="5"/>
        <v>120</v>
      </c>
      <c r="C121" s="2">
        <f t="shared" si="6"/>
        <v>42032</v>
      </c>
    </row>
    <row r="122" spans="1:3" x14ac:dyDescent="0.2">
      <c r="A122" t="s">
        <v>409</v>
      </c>
      <c r="B122">
        <f t="shared" si="5"/>
        <v>121</v>
      </c>
      <c r="C122" s="2">
        <f t="shared" si="6"/>
        <v>42039</v>
      </c>
    </row>
    <row r="123" spans="1:3" x14ac:dyDescent="0.2">
      <c r="A123" t="s">
        <v>408</v>
      </c>
      <c r="B123">
        <f t="shared" si="5"/>
        <v>122</v>
      </c>
      <c r="C123" s="2">
        <f t="shared" si="6"/>
        <v>42046</v>
      </c>
    </row>
    <row r="124" spans="1:3" x14ac:dyDescent="0.2">
      <c r="A124" t="s">
        <v>407</v>
      </c>
      <c r="B124">
        <f t="shared" si="5"/>
        <v>123</v>
      </c>
      <c r="C124" s="2">
        <f t="shared" si="6"/>
        <v>42053</v>
      </c>
    </row>
    <row r="125" spans="1:3" x14ac:dyDescent="0.2">
      <c r="A125" t="s">
        <v>406</v>
      </c>
      <c r="B125">
        <f t="shared" si="5"/>
        <v>124</v>
      </c>
      <c r="C125" s="2">
        <f t="shared" si="6"/>
        <v>42060</v>
      </c>
    </row>
    <row r="126" spans="1:3" x14ac:dyDescent="0.2">
      <c r="A126" t="s">
        <v>405</v>
      </c>
      <c r="B126">
        <f t="shared" si="5"/>
        <v>125</v>
      </c>
      <c r="C126" s="2">
        <f t="shared" si="6"/>
        <v>42067</v>
      </c>
    </row>
    <row r="127" spans="1:3" x14ac:dyDescent="0.2">
      <c r="A127" t="s">
        <v>404</v>
      </c>
      <c r="B127">
        <f t="shared" si="5"/>
        <v>126</v>
      </c>
      <c r="C127" s="2">
        <f t="shared" si="6"/>
        <v>42074</v>
      </c>
    </row>
    <row r="128" spans="1:3" x14ac:dyDescent="0.2">
      <c r="A128" t="s">
        <v>403</v>
      </c>
      <c r="B128">
        <f t="shared" si="5"/>
        <v>127</v>
      </c>
      <c r="C128" s="2">
        <f t="shared" si="6"/>
        <v>42081</v>
      </c>
    </row>
    <row r="129" spans="1:3" x14ac:dyDescent="0.2">
      <c r="A129" t="s">
        <v>402</v>
      </c>
      <c r="B129">
        <f t="shared" si="5"/>
        <v>128</v>
      </c>
      <c r="C129" s="2">
        <f t="shared" si="6"/>
        <v>42088</v>
      </c>
    </row>
    <row r="130" spans="1:3" x14ac:dyDescent="0.2">
      <c r="A130" t="s">
        <v>401</v>
      </c>
      <c r="B130">
        <f t="shared" si="5"/>
        <v>129</v>
      </c>
      <c r="C130" s="2">
        <f t="shared" si="6"/>
        <v>42095</v>
      </c>
    </row>
    <row r="131" spans="1:3" x14ac:dyDescent="0.2">
      <c r="A131" t="s">
        <v>400</v>
      </c>
      <c r="B131">
        <f t="shared" si="5"/>
        <v>130</v>
      </c>
      <c r="C131" s="2">
        <f t="shared" si="6"/>
        <v>42102</v>
      </c>
    </row>
    <row r="132" spans="1:3" x14ac:dyDescent="0.2">
      <c r="A132" t="s">
        <v>399</v>
      </c>
      <c r="B132">
        <f t="shared" si="5"/>
        <v>131</v>
      </c>
      <c r="C132" s="2">
        <f t="shared" si="6"/>
        <v>42109</v>
      </c>
    </row>
    <row r="133" spans="1:3" x14ac:dyDescent="0.2">
      <c r="A133" t="s">
        <v>398</v>
      </c>
      <c r="B133">
        <f t="shared" si="5"/>
        <v>132</v>
      </c>
      <c r="C133" s="2">
        <f t="shared" si="6"/>
        <v>42116</v>
      </c>
    </row>
    <row r="134" spans="1:3" x14ac:dyDescent="0.2">
      <c r="A134" t="s">
        <v>397</v>
      </c>
      <c r="B134">
        <f t="shared" si="5"/>
        <v>133</v>
      </c>
      <c r="C134" s="2">
        <f t="shared" si="6"/>
        <v>42123</v>
      </c>
    </row>
    <row r="135" spans="1:3" x14ac:dyDescent="0.2">
      <c r="A135" t="s">
        <v>396</v>
      </c>
      <c r="B135">
        <f t="shared" si="5"/>
        <v>134</v>
      </c>
      <c r="C135" s="2">
        <f t="shared" si="6"/>
        <v>42130</v>
      </c>
    </row>
    <row r="136" spans="1:3" x14ac:dyDescent="0.2">
      <c r="A136" t="s">
        <v>395</v>
      </c>
      <c r="B136">
        <f t="shared" si="5"/>
        <v>135</v>
      </c>
      <c r="C136" s="2">
        <f t="shared" si="6"/>
        <v>42137</v>
      </c>
    </row>
    <row r="137" spans="1:3" x14ac:dyDescent="0.2">
      <c r="A137" t="s">
        <v>394</v>
      </c>
      <c r="B137">
        <f t="shared" si="5"/>
        <v>136</v>
      </c>
      <c r="C137" s="2">
        <f t="shared" si="6"/>
        <v>42144</v>
      </c>
    </row>
    <row r="138" spans="1:3" x14ac:dyDescent="0.2">
      <c r="A138" t="s">
        <v>393</v>
      </c>
      <c r="B138">
        <f t="shared" si="5"/>
        <v>137</v>
      </c>
      <c r="C138" s="2">
        <f t="shared" si="6"/>
        <v>42151</v>
      </c>
    </row>
    <row r="139" spans="1:3" x14ac:dyDescent="0.2">
      <c r="A139" t="s">
        <v>392</v>
      </c>
      <c r="B139">
        <f t="shared" si="5"/>
        <v>138</v>
      </c>
      <c r="C139" s="2">
        <f t="shared" si="6"/>
        <v>42158</v>
      </c>
    </row>
    <row r="140" spans="1:3" x14ac:dyDescent="0.2">
      <c r="A140" t="s">
        <v>391</v>
      </c>
      <c r="B140">
        <f t="shared" si="5"/>
        <v>139</v>
      </c>
      <c r="C140" s="2">
        <f t="shared" si="6"/>
        <v>42165</v>
      </c>
    </row>
    <row r="141" spans="1:3" x14ac:dyDescent="0.2">
      <c r="A141" t="s">
        <v>390</v>
      </c>
      <c r="B141">
        <f t="shared" si="5"/>
        <v>140</v>
      </c>
      <c r="C141" s="2">
        <f t="shared" si="6"/>
        <v>42172</v>
      </c>
    </row>
    <row r="142" spans="1:3" x14ac:dyDescent="0.2">
      <c r="A142" t="s">
        <v>389</v>
      </c>
      <c r="B142">
        <f t="shared" si="5"/>
        <v>141</v>
      </c>
      <c r="C142" s="2">
        <f t="shared" si="6"/>
        <v>42179</v>
      </c>
    </row>
    <row r="143" spans="1:3" x14ac:dyDescent="0.2">
      <c r="A143" t="s">
        <v>388</v>
      </c>
      <c r="B143">
        <f t="shared" si="5"/>
        <v>142</v>
      </c>
      <c r="C143" s="2">
        <f t="shared" si="6"/>
        <v>42186</v>
      </c>
    </row>
    <row r="144" spans="1:3" x14ac:dyDescent="0.2">
      <c r="A144" t="s">
        <v>387</v>
      </c>
      <c r="B144">
        <f t="shared" si="5"/>
        <v>143</v>
      </c>
      <c r="C144" s="2">
        <f t="shared" si="6"/>
        <v>42193</v>
      </c>
    </row>
    <row r="145" spans="1:3" x14ac:dyDescent="0.2">
      <c r="A145" t="s">
        <v>386</v>
      </c>
      <c r="B145">
        <f t="shared" si="5"/>
        <v>144</v>
      </c>
      <c r="C145" s="2">
        <f t="shared" si="6"/>
        <v>42200</v>
      </c>
    </row>
    <row r="146" spans="1:3" x14ac:dyDescent="0.2">
      <c r="A146" t="s">
        <v>385</v>
      </c>
      <c r="B146">
        <f t="shared" si="5"/>
        <v>145</v>
      </c>
      <c r="C146" s="2">
        <f t="shared" si="6"/>
        <v>42207</v>
      </c>
    </row>
    <row r="147" spans="1:3" x14ac:dyDescent="0.2">
      <c r="A147" t="s">
        <v>384</v>
      </c>
      <c r="B147">
        <f t="shared" si="5"/>
        <v>146</v>
      </c>
      <c r="C147" s="2">
        <f t="shared" si="6"/>
        <v>42214</v>
      </c>
    </row>
    <row r="148" spans="1:3" x14ac:dyDescent="0.2">
      <c r="A148" t="s">
        <v>383</v>
      </c>
      <c r="B148">
        <f t="shared" si="5"/>
        <v>147</v>
      </c>
      <c r="C148" s="2">
        <f t="shared" si="6"/>
        <v>42221</v>
      </c>
    </row>
    <row r="149" spans="1:3" x14ac:dyDescent="0.2">
      <c r="A149" t="s">
        <v>382</v>
      </c>
      <c r="B149">
        <f t="shared" si="5"/>
        <v>148</v>
      </c>
      <c r="C149" s="2">
        <f t="shared" si="6"/>
        <v>42228</v>
      </c>
    </row>
    <row r="150" spans="1:3" x14ac:dyDescent="0.2">
      <c r="A150" t="s">
        <v>381</v>
      </c>
      <c r="B150">
        <f t="shared" si="5"/>
        <v>149</v>
      </c>
      <c r="C150" s="2">
        <f t="shared" si="6"/>
        <v>42235</v>
      </c>
    </row>
    <row r="151" spans="1:3" x14ac:dyDescent="0.2">
      <c r="A151" t="s">
        <v>380</v>
      </c>
      <c r="B151">
        <f t="shared" si="5"/>
        <v>150</v>
      </c>
      <c r="C151" s="2">
        <f t="shared" si="6"/>
        <v>42242</v>
      </c>
    </row>
    <row r="152" spans="1:3" x14ac:dyDescent="0.2">
      <c r="A152" t="s">
        <v>379</v>
      </c>
      <c r="B152">
        <f t="shared" si="5"/>
        <v>151</v>
      </c>
      <c r="C152" s="2">
        <f t="shared" si="6"/>
        <v>42249</v>
      </c>
    </row>
    <row r="153" spans="1:3" x14ac:dyDescent="0.2">
      <c r="A153" t="s">
        <v>378</v>
      </c>
      <c r="B153">
        <f t="shared" si="5"/>
        <v>152</v>
      </c>
      <c r="C153" s="2">
        <f t="shared" si="6"/>
        <v>42256</v>
      </c>
    </row>
    <row r="154" spans="1:3" x14ac:dyDescent="0.2">
      <c r="A154" t="s">
        <v>377</v>
      </c>
      <c r="B154">
        <f t="shared" si="5"/>
        <v>153</v>
      </c>
      <c r="C154" s="2">
        <f t="shared" si="6"/>
        <v>42263</v>
      </c>
    </row>
    <row r="155" spans="1:3" x14ac:dyDescent="0.2">
      <c r="A155" t="s">
        <v>376</v>
      </c>
      <c r="B155">
        <f t="shared" si="5"/>
        <v>154</v>
      </c>
      <c r="C155" s="2">
        <f t="shared" si="6"/>
        <v>42270</v>
      </c>
    </row>
    <row r="156" spans="1:3" x14ac:dyDescent="0.2">
      <c r="A156" t="s">
        <v>375</v>
      </c>
      <c r="B156">
        <f t="shared" si="5"/>
        <v>155</v>
      </c>
      <c r="C156" s="2">
        <f t="shared" si="6"/>
        <v>42277</v>
      </c>
    </row>
    <row r="157" spans="1:3" x14ac:dyDescent="0.2">
      <c r="A157" t="s">
        <v>374</v>
      </c>
      <c r="B157">
        <f t="shared" si="5"/>
        <v>156</v>
      </c>
      <c r="C157" s="2">
        <f t="shared" si="6"/>
        <v>42284</v>
      </c>
    </row>
    <row r="158" spans="1:3" x14ac:dyDescent="0.2">
      <c r="A158" t="s">
        <v>373</v>
      </c>
      <c r="B158">
        <f t="shared" si="5"/>
        <v>157</v>
      </c>
      <c r="C158" s="2">
        <f t="shared" si="6"/>
        <v>42291</v>
      </c>
    </row>
    <row r="159" spans="1:3" x14ac:dyDescent="0.2">
      <c r="A159" t="s">
        <v>372</v>
      </c>
      <c r="B159">
        <f t="shared" si="5"/>
        <v>158</v>
      </c>
      <c r="C159" s="2">
        <f t="shared" si="6"/>
        <v>42298</v>
      </c>
    </row>
    <row r="160" spans="1:3" x14ac:dyDescent="0.2">
      <c r="A160" t="s">
        <v>371</v>
      </c>
      <c r="B160">
        <f t="shared" si="5"/>
        <v>159</v>
      </c>
      <c r="C160" s="2">
        <f t="shared" si="6"/>
        <v>42305</v>
      </c>
    </row>
    <row r="161" spans="1:3" x14ac:dyDescent="0.2">
      <c r="A161" t="s">
        <v>370</v>
      </c>
      <c r="B161">
        <f t="shared" si="5"/>
        <v>160</v>
      </c>
      <c r="C161" s="2">
        <f t="shared" si="6"/>
        <v>42312</v>
      </c>
    </row>
    <row r="162" spans="1:3" x14ac:dyDescent="0.2">
      <c r="A162" t="s">
        <v>369</v>
      </c>
      <c r="B162">
        <f t="shared" si="5"/>
        <v>161</v>
      </c>
      <c r="C162" s="2">
        <f t="shared" si="6"/>
        <v>42319</v>
      </c>
    </row>
    <row r="163" spans="1:3" x14ac:dyDescent="0.2">
      <c r="A163" t="s">
        <v>368</v>
      </c>
      <c r="B163">
        <f t="shared" si="5"/>
        <v>162</v>
      </c>
      <c r="C163" s="2">
        <f t="shared" si="6"/>
        <v>42326</v>
      </c>
    </row>
    <row r="164" spans="1:3" x14ac:dyDescent="0.2">
      <c r="A164" t="s">
        <v>367</v>
      </c>
      <c r="B164">
        <f t="shared" si="5"/>
        <v>163</v>
      </c>
      <c r="C164" s="2">
        <f t="shared" si="6"/>
        <v>42333</v>
      </c>
    </row>
    <row r="165" spans="1:3" x14ac:dyDescent="0.2">
      <c r="A165" t="s">
        <v>366</v>
      </c>
      <c r="B165">
        <f t="shared" si="5"/>
        <v>164</v>
      </c>
      <c r="C165" s="2">
        <f t="shared" si="6"/>
        <v>42340</v>
      </c>
    </row>
    <row r="166" spans="1:3" x14ac:dyDescent="0.2">
      <c r="A166" t="s">
        <v>365</v>
      </c>
      <c r="B166">
        <f t="shared" si="5"/>
        <v>165</v>
      </c>
      <c r="C166" s="2">
        <f t="shared" si="6"/>
        <v>42347</v>
      </c>
    </row>
    <row r="167" spans="1:3" x14ac:dyDescent="0.2">
      <c r="A167" t="s">
        <v>364</v>
      </c>
      <c r="B167">
        <f t="shared" si="5"/>
        <v>166</v>
      </c>
      <c r="C167" s="2">
        <f t="shared" si="6"/>
        <v>42354</v>
      </c>
    </row>
    <row r="168" spans="1:3" x14ac:dyDescent="0.2">
      <c r="A168" t="s">
        <v>363</v>
      </c>
      <c r="B168">
        <f t="shared" si="5"/>
        <v>167</v>
      </c>
      <c r="C168" s="2">
        <f t="shared" si="6"/>
        <v>42361</v>
      </c>
    </row>
    <row r="169" spans="1:3" x14ac:dyDescent="0.2">
      <c r="A169" t="s">
        <v>362</v>
      </c>
      <c r="B169">
        <f t="shared" si="5"/>
        <v>168</v>
      </c>
      <c r="C169" s="2">
        <f t="shared" si="6"/>
        <v>42368</v>
      </c>
    </row>
    <row r="170" spans="1:3" x14ac:dyDescent="0.2">
      <c r="A170" t="s">
        <v>361</v>
      </c>
      <c r="B170">
        <f t="shared" si="5"/>
        <v>169</v>
      </c>
      <c r="C170" s="2">
        <f t="shared" si="6"/>
        <v>42375</v>
      </c>
    </row>
    <row r="171" spans="1:3" x14ac:dyDescent="0.2">
      <c r="A171" t="s">
        <v>360</v>
      </c>
      <c r="B171">
        <f t="shared" si="5"/>
        <v>170</v>
      </c>
      <c r="C171" s="2">
        <f t="shared" si="6"/>
        <v>42382</v>
      </c>
    </row>
    <row r="172" spans="1:3" x14ac:dyDescent="0.2">
      <c r="A172" t="s">
        <v>359</v>
      </c>
      <c r="B172">
        <f t="shared" si="5"/>
        <v>171</v>
      </c>
      <c r="C172" s="2">
        <f t="shared" si="6"/>
        <v>42389</v>
      </c>
    </row>
    <row r="173" spans="1:3" x14ac:dyDescent="0.2">
      <c r="A173" t="s">
        <v>358</v>
      </c>
      <c r="B173">
        <f t="shared" si="5"/>
        <v>172</v>
      </c>
      <c r="C173" s="2">
        <f t="shared" si="6"/>
        <v>42396</v>
      </c>
    </row>
    <row r="174" spans="1:3" x14ac:dyDescent="0.2">
      <c r="A174" t="s">
        <v>357</v>
      </c>
      <c r="B174">
        <f t="shared" si="5"/>
        <v>173</v>
      </c>
      <c r="C174" s="2">
        <f t="shared" si="6"/>
        <v>42403</v>
      </c>
    </row>
    <row r="175" spans="1:3" x14ac:dyDescent="0.2">
      <c r="A175" t="s">
        <v>356</v>
      </c>
      <c r="B175">
        <f t="shared" si="5"/>
        <v>174</v>
      </c>
      <c r="C175" s="2">
        <f t="shared" si="6"/>
        <v>42410</v>
      </c>
    </row>
    <row r="176" spans="1:3" x14ac:dyDescent="0.2">
      <c r="A176" t="s">
        <v>355</v>
      </c>
      <c r="B176">
        <f t="shared" si="5"/>
        <v>175</v>
      </c>
      <c r="C176" s="2">
        <f t="shared" si="6"/>
        <v>42417</v>
      </c>
    </row>
    <row r="177" spans="1:3" x14ac:dyDescent="0.2">
      <c r="A177" s="4" t="s">
        <v>354</v>
      </c>
      <c r="B177" s="4">
        <f t="shared" si="5"/>
        <v>176</v>
      </c>
      <c r="C177" s="5">
        <f t="shared" si="6"/>
        <v>42424</v>
      </c>
    </row>
    <row r="178" spans="1:3" x14ac:dyDescent="0.2">
      <c r="A178" t="s">
        <v>353</v>
      </c>
      <c r="B178">
        <f t="shared" si="5"/>
        <v>177</v>
      </c>
      <c r="C178" s="2">
        <f t="shared" si="6"/>
        <v>42431</v>
      </c>
    </row>
    <row r="179" spans="1:3" x14ac:dyDescent="0.2">
      <c r="A179" t="s">
        <v>352</v>
      </c>
      <c r="B179">
        <f t="shared" si="5"/>
        <v>178</v>
      </c>
      <c r="C179" s="2">
        <f t="shared" si="6"/>
        <v>42438</v>
      </c>
    </row>
    <row r="180" spans="1:3" x14ac:dyDescent="0.2">
      <c r="A180" t="s">
        <v>351</v>
      </c>
      <c r="B180">
        <f t="shared" si="5"/>
        <v>179</v>
      </c>
      <c r="C180" s="2">
        <f t="shared" si="6"/>
        <v>42445</v>
      </c>
    </row>
    <row r="181" spans="1:3" x14ac:dyDescent="0.2">
      <c r="A181" t="s">
        <v>350</v>
      </c>
      <c r="B181">
        <f t="shared" si="5"/>
        <v>180</v>
      </c>
      <c r="C181" s="2">
        <f t="shared" si="6"/>
        <v>42452</v>
      </c>
    </row>
    <row r="182" spans="1:3" x14ac:dyDescent="0.2">
      <c r="A182" t="s">
        <v>349</v>
      </c>
      <c r="B182">
        <f t="shared" si="5"/>
        <v>181</v>
      </c>
      <c r="C182" s="2">
        <f t="shared" si="6"/>
        <v>42459</v>
      </c>
    </row>
    <row r="183" spans="1:3" x14ac:dyDescent="0.2">
      <c r="A183" t="s">
        <v>348</v>
      </c>
      <c r="B183">
        <f t="shared" si="5"/>
        <v>182</v>
      </c>
      <c r="C183" s="2">
        <f t="shared" si="6"/>
        <v>42466</v>
      </c>
    </row>
    <row r="184" spans="1:3" x14ac:dyDescent="0.2">
      <c r="A184" t="s">
        <v>347</v>
      </c>
      <c r="B184">
        <f t="shared" ref="B184:B247" si="7">IF(A184&gt;0,B183+1,"")</f>
        <v>183</v>
      </c>
      <c r="C184" s="2">
        <f t="shared" ref="C184:C247" si="8">IF(A184&gt;0,C183+7,"")</f>
        <v>42473</v>
      </c>
    </row>
    <row r="185" spans="1:3" x14ac:dyDescent="0.2">
      <c r="A185" t="s">
        <v>346</v>
      </c>
      <c r="B185">
        <f t="shared" si="7"/>
        <v>184</v>
      </c>
      <c r="C185" s="2">
        <f t="shared" si="8"/>
        <v>42480</v>
      </c>
    </row>
    <row r="186" spans="1:3" x14ac:dyDescent="0.2">
      <c r="A186" t="s">
        <v>345</v>
      </c>
      <c r="B186">
        <f t="shared" si="7"/>
        <v>185</v>
      </c>
      <c r="C186" s="2">
        <f t="shared" si="8"/>
        <v>42487</v>
      </c>
    </row>
    <row r="187" spans="1:3" x14ac:dyDescent="0.2">
      <c r="A187" t="s">
        <v>344</v>
      </c>
      <c r="B187">
        <f t="shared" si="7"/>
        <v>186</v>
      </c>
      <c r="C187" s="2">
        <f t="shared" si="8"/>
        <v>42494</v>
      </c>
    </row>
    <row r="188" spans="1:3" x14ac:dyDescent="0.2">
      <c r="A188" t="s">
        <v>343</v>
      </c>
      <c r="B188">
        <f t="shared" si="7"/>
        <v>187</v>
      </c>
      <c r="C188" s="2">
        <f t="shared" si="8"/>
        <v>42501</v>
      </c>
    </row>
    <row r="189" spans="1:3" x14ac:dyDescent="0.2">
      <c r="A189" t="s">
        <v>342</v>
      </c>
      <c r="B189">
        <f t="shared" si="7"/>
        <v>188</v>
      </c>
      <c r="C189" s="2">
        <f t="shared" si="8"/>
        <v>42508</v>
      </c>
    </row>
    <row r="190" spans="1:3" x14ac:dyDescent="0.2">
      <c r="A190" t="s">
        <v>341</v>
      </c>
      <c r="B190">
        <f t="shared" si="7"/>
        <v>189</v>
      </c>
      <c r="C190" s="2">
        <f t="shared" si="8"/>
        <v>42515</v>
      </c>
    </row>
    <row r="191" spans="1:3" x14ac:dyDescent="0.2">
      <c r="A191" t="s">
        <v>340</v>
      </c>
      <c r="B191">
        <f t="shared" si="7"/>
        <v>190</v>
      </c>
      <c r="C191" s="2">
        <f t="shared" si="8"/>
        <v>42522</v>
      </c>
    </row>
    <row r="192" spans="1:3" x14ac:dyDescent="0.2">
      <c r="A192" t="s">
        <v>339</v>
      </c>
      <c r="B192">
        <f t="shared" si="7"/>
        <v>191</v>
      </c>
      <c r="C192" s="2">
        <f t="shared" si="8"/>
        <v>42529</v>
      </c>
    </row>
    <row r="193" spans="1:3" x14ac:dyDescent="0.2">
      <c r="A193" t="s">
        <v>338</v>
      </c>
      <c r="B193">
        <f t="shared" si="7"/>
        <v>192</v>
      </c>
      <c r="C193" s="2">
        <f t="shared" si="8"/>
        <v>42536</v>
      </c>
    </row>
    <row r="194" spans="1:3" x14ac:dyDescent="0.2">
      <c r="A194" t="s">
        <v>337</v>
      </c>
      <c r="B194">
        <f t="shared" si="7"/>
        <v>193</v>
      </c>
      <c r="C194" s="2">
        <f t="shared" si="8"/>
        <v>42543</v>
      </c>
    </row>
    <row r="195" spans="1:3" x14ac:dyDescent="0.2">
      <c r="A195" t="s">
        <v>336</v>
      </c>
      <c r="B195">
        <f t="shared" si="7"/>
        <v>194</v>
      </c>
      <c r="C195" s="2">
        <f t="shared" si="8"/>
        <v>42550</v>
      </c>
    </row>
    <row r="196" spans="1:3" x14ac:dyDescent="0.2">
      <c r="A196" t="s">
        <v>335</v>
      </c>
      <c r="B196">
        <f t="shared" si="7"/>
        <v>195</v>
      </c>
      <c r="C196" s="2">
        <f t="shared" si="8"/>
        <v>42557</v>
      </c>
    </row>
    <row r="197" spans="1:3" x14ac:dyDescent="0.2">
      <c r="A197" t="s">
        <v>334</v>
      </c>
      <c r="B197">
        <f t="shared" si="7"/>
        <v>196</v>
      </c>
      <c r="C197" s="2">
        <f t="shared" si="8"/>
        <v>42564</v>
      </c>
    </row>
    <row r="198" spans="1:3" x14ac:dyDescent="0.2">
      <c r="A198" t="s">
        <v>333</v>
      </c>
      <c r="B198">
        <f t="shared" si="7"/>
        <v>197</v>
      </c>
      <c r="C198" s="2">
        <f t="shared" si="8"/>
        <v>42571</v>
      </c>
    </row>
    <row r="199" spans="1:3" x14ac:dyDescent="0.2">
      <c r="A199" t="s">
        <v>332</v>
      </c>
      <c r="B199">
        <f t="shared" si="7"/>
        <v>198</v>
      </c>
      <c r="C199" s="2">
        <f t="shared" si="8"/>
        <v>42578</v>
      </c>
    </row>
    <row r="200" spans="1:3" x14ac:dyDescent="0.2">
      <c r="A200" t="s">
        <v>331</v>
      </c>
      <c r="B200">
        <f t="shared" si="7"/>
        <v>199</v>
      </c>
      <c r="C200" s="2">
        <f t="shared" si="8"/>
        <v>42585</v>
      </c>
    </row>
    <row r="201" spans="1:3" x14ac:dyDescent="0.2">
      <c r="A201" t="s">
        <v>330</v>
      </c>
      <c r="B201">
        <f t="shared" si="7"/>
        <v>200</v>
      </c>
      <c r="C201" s="2">
        <f t="shared" si="8"/>
        <v>42592</v>
      </c>
    </row>
    <row r="202" spans="1:3" x14ac:dyDescent="0.2">
      <c r="A202" t="s">
        <v>329</v>
      </c>
      <c r="B202">
        <f t="shared" si="7"/>
        <v>201</v>
      </c>
      <c r="C202" s="2">
        <f t="shared" si="8"/>
        <v>42599</v>
      </c>
    </row>
    <row r="203" spans="1:3" x14ac:dyDescent="0.2">
      <c r="A203" t="s">
        <v>328</v>
      </c>
      <c r="B203">
        <f t="shared" si="7"/>
        <v>202</v>
      </c>
      <c r="C203" s="2">
        <f t="shared" si="8"/>
        <v>42606</v>
      </c>
    </row>
    <row r="204" spans="1:3" x14ac:dyDescent="0.2">
      <c r="A204" t="s">
        <v>327</v>
      </c>
      <c r="B204">
        <f t="shared" si="7"/>
        <v>203</v>
      </c>
      <c r="C204" s="2">
        <f t="shared" si="8"/>
        <v>42613</v>
      </c>
    </row>
    <row r="205" spans="1:3" x14ac:dyDescent="0.2">
      <c r="A205" t="s">
        <v>326</v>
      </c>
      <c r="B205">
        <f t="shared" si="7"/>
        <v>204</v>
      </c>
      <c r="C205" s="2">
        <f t="shared" si="8"/>
        <v>42620</v>
      </c>
    </row>
    <row r="206" spans="1:3" x14ac:dyDescent="0.2">
      <c r="A206" t="s">
        <v>325</v>
      </c>
      <c r="B206">
        <f t="shared" si="7"/>
        <v>205</v>
      </c>
      <c r="C206" s="2">
        <f t="shared" si="8"/>
        <v>42627</v>
      </c>
    </row>
    <row r="207" spans="1:3" x14ac:dyDescent="0.2">
      <c r="A207" t="s">
        <v>324</v>
      </c>
      <c r="B207">
        <f t="shared" si="7"/>
        <v>206</v>
      </c>
      <c r="C207" s="2">
        <f t="shared" si="8"/>
        <v>42634</v>
      </c>
    </row>
    <row r="208" spans="1:3" x14ac:dyDescent="0.2">
      <c r="A208" t="s">
        <v>323</v>
      </c>
      <c r="B208">
        <f t="shared" si="7"/>
        <v>207</v>
      </c>
      <c r="C208" s="2">
        <f t="shared" si="8"/>
        <v>42641</v>
      </c>
    </row>
    <row r="209" spans="1:3" x14ac:dyDescent="0.2">
      <c r="A209" t="s">
        <v>322</v>
      </c>
      <c r="B209">
        <f t="shared" si="7"/>
        <v>208</v>
      </c>
      <c r="C209" s="2">
        <f t="shared" si="8"/>
        <v>42648</v>
      </c>
    </row>
    <row r="210" spans="1:3" x14ac:dyDescent="0.2">
      <c r="A210" t="s">
        <v>321</v>
      </c>
      <c r="B210">
        <f t="shared" si="7"/>
        <v>209</v>
      </c>
      <c r="C210" s="2">
        <f t="shared" si="8"/>
        <v>42655</v>
      </c>
    </row>
    <row r="211" spans="1:3" x14ac:dyDescent="0.2">
      <c r="A211" t="s">
        <v>320</v>
      </c>
      <c r="B211">
        <f t="shared" si="7"/>
        <v>210</v>
      </c>
      <c r="C211" s="2">
        <f t="shared" si="8"/>
        <v>42662</v>
      </c>
    </row>
    <row r="212" spans="1:3" x14ac:dyDescent="0.2">
      <c r="A212" t="s">
        <v>319</v>
      </c>
      <c r="B212">
        <f t="shared" si="7"/>
        <v>211</v>
      </c>
      <c r="C212" s="2">
        <f t="shared" si="8"/>
        <v>42669</v>
      </c>
    </row>
    <row r="213" spans="1:3" x14ac:dyDescent="0.2">
      <c r="A213" t="s">
        <v>318</v>
      </c>
      <c r="B213">
        <f t="shared" si="7"/>
        <v>212</v>
      </c>
      <c r="C213" s="2">
        <f t="shared" si="8"/>
        <v>42676</v>
      </c>
    </row>
    <row r="214" spans="1:3" x14ac:dyDescent="0.2">
      <c r="A214" t="s">
        <v>317</v>
      </c>
      <c r="B214">
        <f t="shared" si="7"/>
        <v>213</v>
      </c>
      <c r="C214" s="2">
        <f t="shared" si="8"/>
        <v>42683</v>
      </c>
    </row>
    <row r="215" spans="1:3" x14ac:dyDescent="0.2">
      <c r="A215" t="s">
        <v>316</v>
      </c>
      <c r="B215">
        <f t="shared" si="7"/>
        <v>214</v>
      </c>
      <c r="C215" s="2">
        <f t="shared" si="8"/>
        <v>42690</v>
      </c>
    </row>
    <row r="216" spans="1:3" x14ac:dyDescent="0.2">
      <c r="A216" t="s">
        <v>315</v>
      </c>
      <c r="B216">
        <f t="shared" si="7"/>
        <v>215</v>
      </c>
      <c r="C216" s="2">
        <f t="shared" si="8"/>
        <v>42697</v>
      </c>
    </row>
    <row r="217" spans="1:3" x14ac:dyDescent="0.2">
      <c r="A217" t="s">
        <v>314</v>
      </c>
      <c r="B217">
        <f t="shared" si="7"/>
        <v>216</v>
      </c>
      <c r="C217" s="2">
        <f t="shared" si="8"/>
        <v>42704</v>
      </c>
    </row>
    <row r="218" spans="1:3" x14ac:dyDescent="0.2">
      <c r="A218" t="s">
        <v>313</v>
      </c>
      <c r="B218">
        <f t="shared" si="7"/>
        <v>217</v>
      </c>
      <c r="C218" s="2">
        <f t="shared" si="8"/>
        <v>42711</v>
      </c>
    </row>
    <row r="219" spans="1:3" x14ac:dyDescent="0.2">
      <c r="A219" t="s">
        <v>312</v>
      </c>
      <c r="B219">
        <f t="shared" si="7"/>
        <v>218</v>
      </c>
      <c r="C219" s="2">
        <f t="shared" si="8"/>
        <v>42718</v>
      </c>
    </row>
    <row r="220" spans="1:3" x14ac:dyDescent="0.2">
      <c r="A220" t="s">
        <v>311</v>
      </c>
      <c r="B220">
        <f t="shared" si="7"/>
        <v>219</v>
      </c>
      <c r="C220" s="2">
        <f t="shared" si="8"/>
        <v>42725</v>
      </c>
    </row>
    <row r="221" spans="1:3" x14ac:dyDescent="0.2">
      <c r="A221" t="s">
        <v>310</v>
      </c>
      <c r="B221">
        <f t="shared" si="7"/>
        <v>220</v>
      </c>
      <c r="C221" s="2">
        <f t="shared" si="8"/>
        <v>42732</v>
      </c>
    </row>
    <row r="222" spans="1:3" x14ac:dyDescent="0.2">
      <c r="A222" t="s">
        <v>309</v>
      </c>
      <c r="B222">
        <f t="shared" si="7"/>
        <v>221</v>
      </c>
      <c r="C222" s="2">
        <f t="shared" si="8"/>
        <v>42739</v>
      </c>
    </row>
    <row r="223" spans="1:3" x14ac:dyDescent="0.2">
      <c r="A223" t="s">
        <v>308</v>
      </c>
      <c r="B223">
        <f t="shared" si="7"/>
        <v>222</v>
      </c>
      <c r="C223" s="2">
        <f t="shared" si="8"/>
        <v>42746</v>
      </c>
    </row>
    <row r="224" spans="1:3" x14ac:dyDescent="0.2">
      <c r="A224" t="s">
        <v>307</v>
      </c>
      <c r="B224">
        <f t="shared" si="7"/>
        <v>223</v>
      </c>
      <c r="C224" s="2">
        <f t="shared" si="8"/>
        <v>42753</v>
      </c>
    </row>
    <row r="225" spans="1:3" x14ac:dyDescent="0.2">
      <c r="A225" t="s">
        <v>306</v>
      </c>
      <c r="B225">
        <f t="shared" si="7"/>
        <v>224</v>
      </c>
      <c r="C225" s="2">
        <f t="shared" si="8"/>
        <v>42760</v>
      </c>
    </row>
    <row r="226" spans="1:3" x14ac:dyDescent="0.2">
      <c r="A226" t="s">
        <v>305</v>
      </c>
      <c r="B226">
        <f t="shared" si="7"/>
        <v>225</v>
      </c>
      <c r="C226" s="2">
        <f t="shared" si="8"/>
        <v>42767</v>
      </c>
    </row>
    <row r="227" spans="1:3" x14ac:dyDescent="0.2">
      <c r="A227" t="s">
        <v>304</v>
      </c>
      <c r="B227">
        <f t="shared" si="7"/>
        <v>226</v>
      </c>
      <c r="C227" s="2">
        <f t="shared" si="8"/>
        <v>42774</v>
      </c>
    </row>
    <row r="228" spans="1:3" x14ac:dyDescent="0.2">
      <c r="A228" t="s">
        <v>303</v>
      </c>
      <c r="B228">
        <f t="shared" si="7"/>
        <v>227</v>
      </c>
      <c r="C228" s="2">
        <f t="shared" si="8"/>
        <v>42781</v>
      </c>
    </row>
    <row r="229" spans="1:3" x14ac:dyDescent="0.2">
      <c r="A229" t="s">
        <v>302</v>
      </c>
      <c r="B229">
        <f t="shared" si="7"/>
        <v>228</v>
      </c>
      <c r="C229" s="2">
        <f t="shared" si="8"/>
        <v>42788</v>
      </c>
    </row>
    <row r="230" spans="1:3" x14ac:dyDescent="0.2">
      <c r="A230" t="s">
        <v>301</v>
      </c>
      <c r="B230">
        <f t="shared" si="7"/>
        <v>229</v>
      </c>
      <c r="C230" s="2">
        <f t="shared" si="8"/>
        <v>42795</v>
      </c>
    </row>
    <row r="231" spans="1:3" x14ac:dyDescent="0.2">
      <c r="A231" t="s">
        <v>300</v>
      </c>
      <c r="B231">
        <f t="shared" si="7"/>
        <v>230</v>
      </c>
      <c r="C231" s="2">
        <f t="shared" si="8"/>
        <v>42802</v>
      </c>
    </row>
    <row r="232" spans="1:3" x14ac:dyDescent="0.2">
      <c r="A232" t="s">
        <v>299</v>
      </c>
      <c r="B232">
        <f t="shared" si="7"/>
        <v>231</v>
      </c>
      <c r="C232" s="2">
        <f t="shared" si="8"/>
        <v>42809</v>
      </c>
    </row>
    <row r="233" spans="1:3" x14ac:dyDescent="0.2">
      <c r="A233" t="s">
        <v>298</v>
      </c>
      <c r="B233">
        <f t="shared" si="7"/>
        <v>232</v>
      </c>
      <c r="C233" s="2">
        <f t="shared" si="8"/>
        <v>42816</v>
      </c>
    </row>
    <row r="234" spans="1:3" x14ac:dyDescent="0.2">
      <c r="A234" t="s">
        <v>297</v>
      </c>
      <c r="B234">
        <f t="shared" si="7"/>
        <v>233</v>
      </c>
      <c r="C234" s="2">
        <f t="shared" si="8"/>
        <v>42823</v>
      </c>
    </row>
    <row r="235" spans="1:3" x14ac:dyDescent="0.2">
      <c r="A235" t="s">
        <v>296</v>
      </c>
      <c r="B235">
        <f t="shared" si="7"/>
        <v>234</v>
      </c>
      <c r="C235" s="2">
        <f t="shared" si="8"/>
        <v>42830</v>
      </c>
    </row>
    <row r="236" spans="1:3" x14ac:dyDescent="0.2">
      <c r="A236" t="s">
        <v>295</v>
      </c>
      <c r="B236">
        <f t="shared" si="7"/>
        <v>235</v>
      </c>
      <c r="C236" s="2">
        <f t="shared" si="8"/>
        <v>42837</v>
      </c>
    </row>
    <row r="237" spans="1:3" x14ac:dyDescent="0.2">
      <c r="A237" t="s">
        <v>294</v>
      </c>
      <c r="B237">
        <f t="shared" si="7"/>
        <v>236</v>
      </c>
      <c r="C237" s="2">
        <f t="shared" si="8"/>
        <v>42844</v>
      </c>
    </row>
    <row r="238" spans="1:3" x14ac:dyDescent="0.2">
      <c r="A238" t="s">
        <v>293</v>
      </c>
      <c r="B238">
        <f t="shared" si="7"/>
        <v>237</v>
      </c>
      <c r="C238" s="2">
        <f t="shared" si="8"/>
        <v>42851</v>
      </c>
    </row>
    <row r="239" spans="1:3" x14ac:dyDescent="0.2">
      <c r="A239" t="s">
        <v>292</v>
      </c>
      <c r="B239">
        <f t="shared" si="7"/>
        <v>238</v>
      </c>
      <c r="C239" s="2">
        <f t="shared" si="8"/>
        <v>42858</v>
      </c>
    </row>
    <row r="240" spans="1:3" x14ac:dyDescent="0.2">
      <c r="A240" t="s">
        <v>291</v>
      </c>
      <c r="B240">
        <f t="shared" si="7"/>
        <v>239</v>
      </c>
      <c r="C240" s="2">
        <f t="shared" si="8"/>
        <v>42865</v>
      </c>
    </row>
    <row r="241" spans="1:3" x14ac:dyDescent="0.2">
      <c r="A241" t="s">
        <v>290</v>
      </c>
      <c r="B241">
        <f t="shared" si="7"/>
        <v>240</v>
      </c>
      <c r="C241" s="2">
        <f t="shared" si="8"/>
        <v>42872</v>
      </c>
    </row>
    <row r="242" spans="1:3" x14ac:dyDescent="0.2">
      <c r="A242" t="s">
        <v>289</v>
      </c>
      <c r="B242">
        <f t="shared" si="7"/>
        <v>241</v>
      </c>
      <c r="C242" s="2">
        <f t="shared" si="8"/>
        <v>42879</v>
      </c>
    </row>
    <row r="243" spans="1:3" x14ac:dyDescent="0.2">
      <c r="A243" t="s">
        <v>288</v>
      </c>
      <c r="B243">
        <f t="shared" si="7"/>
        <v>242</v>
      </c>
      <c r="C243" s="2">
        <f t="shared" si="8"/>
        <v>42886</v>
      </c>
    </row>
    <row r="244" spans="1:3" x14ac:dyDescent="0.2">
      <c r="A244" t="s">
        <v>287</v>
      </c>
      <c r="B244">
        <f t="shared" si="7"/>
        <v>243</v>
      </c>
      <c r="C244" s="2">
        <f t="shared" si="8"/>
        <v>42893</v>
      </c>
    </row>
    <row r="245" spans="1:3" x14ac:dyDescent="0.2">
      <c r="A245" t="s">
        <v>286</v>
      </c>
      <c r="B245">
        <f t="shared" si="7"/>
        <v>244</v>
      </c>
      <c r="C245" s="2">
        <f t="shared" si="8"/>
        <v>42900</v>
      </c>
    </row>
    <row r="246" spans="1:3" x14ac:dyDescent="0.2">
      <c r="A246" t="s">
        <v>285</v>
      </c>
      <c r="B246">
        <f t="shared" si="7"/>
        <v>245</v>
      </c>
      <c r="C246" s="2">
        <f t="shared" si="8"/>
        <v>42907</v>
      </c>
    </row>
    <row r="247" spans="1:3" x14ac:dyDescent="0.2">
      <c r="A247" t="s">
        <v>284</v>
      </c>
      <c r="B247">
        <f t="shared" si="7"/>
        <v>246</v>
      </c>
      <c r="C247" s="2">
        <f t="shared" si="8"/>
        <v>42914</v>
      </c>
    </row>
    <row r="248" spans="1:3" x14ac:dyDescent="0.2">
      <c r="A248" t="s">
        <v>283</v>
      </c>
      <c r="B248">
        <f t="shared" ref="B248:B265" si="9">IF(A248&gt;0,B247+1,"")</f>
        <v>247</v>
      </c>
      <c r="C248" s="2">
        <f t="shared" ref="C248:C265" si="10">IF(A248&gt;0,C247+7,"")</f>
        <v>42921</v>
      </c>
    </row>
    <row r="249" spans="1:3" x14ac:dyDescent="0.2">
      <c r="A249" t="s">
        <v>282</v>
      </c>
      <c r="B249">
        <f t="shared" si="9"/>
        <v>248</v>
      </c>
      <c r="C249" s="2">
        <f t="shared" si="10"/>
        <v>42928</v>
      </c>
    </row>
    <row r="250" spans="1:3" x14ac:dyDescent="0.2">
      <c r="A250" t="s">
        <v>281</v>
      </c>
      <c r="B250">
        <f t="shared" si="9"/>
        <v>249</v>
      </c>
      <c r="C250" s="2">
        <f t="shared" si="10"/>
        <v>42935</v>
      </c>
    </row>
    <row r="251" spans="1:3" x14ac:dyDescent="0.2">
      <c r="A251" t="s">
        <v>280</v>
      </c>
      <c r="B251">
        <f t="shared" si="9"/>
        <v>250</v>
      </c>
      <c r="C251" s="2">
        <f t="shared" si="10"/>
        <v>42942</v>
      </c>
    </row>
    <row r="252" spans="1:3" x14ac:dyDescent="0.2">
      <c r="A252" t="s">
        <v>279</v>
      </c>
      <c r="B252">
        <f t="shared" si="9"/>
        <v>251</v>
      </c>
      <c r="C252" s="2">
        <f t="shared" si="10"/>
        <v>42949</v>
      </c>
    </row>
    <row r="253" spans="1:3" x14ac:dyDescent="0.2">
      <c r="A253" t="s">
        <v>278</v>
      </c>
      <c r="B253">
        <f t="shared" si="9"/>
        <v>252</v>
      </c>
      <c r="C253" s="2">
        <f t="shared" si="10"/>
        <v>42956</v>
      </c>
    </row>
    <row r="254" spans="1:3" x14ac:dyDescent="0.2">
      <c r="A254" t="s">
        <v>277</v>
      </c>
      <c r="B254">
        <f t="shared" si="9"/>
        <v>253</v>
      </c>
      <c r="C254" s="2">
        <f t="shared" si="10"/>
        <v>42963</v>
      </c>
    </row>
    <row r="255" spans="1:3" x14ac:dyDescent="0.2">
      <c r="A255" t="s">
        <v>276</v>
      </c>
      <c r="B255">
        <f t="shared" si="9"/>
        <v>254</v>
      </c>
      <c r="C255" s="2">
        <f t="shared" si="10"/>
        <v>42970</v>
      </c>
    </row>
    <row r="256" spans="1:3" x14ac:dyDescent="0.2">
      <c r="A256" t="s">
        <v>275</v>
      </c>
      <c r="B256">
        <f t="shared" si="9"/>
        <v>255</v>
      </c>
      <c r="C256" s="2">
        <f t="shared" si="10"/>
        <v>42977</v>
      </c>
    </row>
    <row r="257" spans="1:3" x14ac:dyDescent="0.2">
      <c r="A257" t="s">
        <v>274</v>
      </c>
      <c r="B257">
        <f t="shared" si="9"/>
        <v>256</v>
      </c>
      <c r="C257" s="2">
        <f t="shared" si="10"/>
        <v>42984</v>
      </c>
    </row>
    <row r="258" spans="1:3" x14ac:dyDescent="0.2">
      <c r="A258" t="s">
        <v>273</v>
      </c>
      <c r="B258">
        <f t="shared" si="9"/>
        <v>257</v>
      </c>
      <c r="C258" s="2">
        <f t="shared" si="10"/>
        <v>42991</v>
      </c>
    </row>
    <row r="259" spans="1:3" x14ac:dyDescent="0.2">
      <c r="A259" t="s">
        <v>272</v>
      </c>
      <c r="B259">
        <f t="shared" si="9"/>
        <v>258</v>
      </c>
      <c r="C259" s="2">
        <f t="shared" si="10"/>
        <v>42998</v>
      </c>
    </row>
    <row r="260" spans="1:3" x14ac:dyDescent="0.2">
      <c r="A260" t="s">
        <v>271</v>
      </c>
      <c r="B260">
        <f t="shared" si="9"/>
        <v>259</v>
      </c>
      <c r="C260" s="2">
        <f t="shared" si="10"/>
        <v>43005</v>
      </c>
    </row>
    <row r="261" spans="1:3" x14ac:dyDescent="0.2">
      <c r="A261" t="s">
        <v>270</v>
      </c>
      <c r="B261">
        <f t="shared" si="9"/>
        <v>260</v>
      </c>
      <c r="C261" s="2">
        <f t="shared" si="10"/>
        <v>43012</v>
      </c>
    </row>
    <row r="262" spans="1:3" x14ac:dyDescent="0.2">
      <c r="A262" t="s">
        <v>269</v>
      </c>
      <c r="B262">
        <f t="shared" si="9"/>
        <v>261</v>
      </c>
      <c r="C262" s="2">
        <f t="shared" si="10"/>
        <v>43019</v>
      </c>
    </row>
    <row r="263" spans="1:3" x14ac:dyDescent="0.2">
      <c r="A263" t="s">
        <v>268</v>
      </c>
      <c r="B263">
        <f t="shared" si="9"/>
        <v>262</v>
      </c>
      <c r="C263" s="2">
        <f t="shared" si="10"/>
        <v>43026</v>
      </c>
    </row>
    <row r="264" spans="1:3" x14ac:dyDescent="0.2">
      <c r="A264" t="s">
        <v>267</v>
      </c>
      <c r="B264">
        <f t="shared" si="9"/>
        <v>263</v>
      </c>
      <c r="C264" s="2">
        <f t="shared" si="10"/>
        <v>43033</v>
      </c>
    </row>
    <row r="265" spans="1:3" x14ac:dyDescent="0.2">
      <c r="A265" s="4" t="s">
        <v>266</v>
      </c>
      <c r="B265" s="4">
        <f t="shared" si="9"/>
        <v>264</v>
      </c>
      <c r="C265" s="5">
        <f t="shared" si="10"/>
        <v>43040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E9EF-A15F-4B85-9328-275D9A989BA3}">
  <dimension ref="A1:B13"/>
  <sheetViews>
    <sheetView showGridLines="0" workbookViewId="0">
      <selection activeCell="D74" sqref="D74"/>
    </sheetView>
  </sheetViews>
  <sheetFormatPr defaultRowHeight="15" x14ac:dyDescent="0.2"/>
  <cols>
    <col min="1" max="1" width="13.5859375" bestFit="1" customWidth="1"/>
    <col min="2" max="2" width="4.4375" bestFit="1" customWidth="1"/>
  </cols>
  <sheetData>
    <row r="1" spans="1:2" x14ac:dyDescent="0.2">
      <c r="A1" s="1" t="s">
        <v>545</v>
      </c>
      <c r="B1" s="1" t="s">
        <v>544</v>
      </c>
    </row>
    <row r="2" spans="1:2" x14ac:dyDescent="0.2">
      <c r="A2" t="s">
        <v>536</v>
      </c>
      <c r="B2">
        <v>1</v>
      </c>
    </row>
    <row r="3" spans="1:2" x14ac:dyDescent="0.2">
      <c r="A3" t="s">
        <v>537</v>
      </c>
      <c r="B3">
        <v>2</v>
      </c>
    </row>
    <row r="4" spans="1:2" x14ac:dyDescent="0.2">
      <c r="A4" t="s">
        <v>538</v>
      </c>
      <c r="B4">
        <v>3</v>
      </c>
    </row>
    <row r="5" spans="1:2" x14ac:dyDescent="0.2">
      <c r="A5" t="s">
        <v>539</v>
      </c>
      <c r="B5">
        <v>4</v>
      </c>
    </row>
    <row r="6" spans="1:2" x14ac:dyDescent="0.2">
      <c r="A6" t="s">
        <v>540</v>
      </c>
      <c r="B6">
        <v>5</v>
      </c>
    </row>
    <row r="7" spans="1:2" x14ac:dyDescent="0.2">
      <c r="A7" t="s">
        <v>541</v>
      </c>
      <c r="B7">
        <v>6</v>
      </c>
    </row>
    <row r="8" spans="1:2" x14ac:dyDescent="0.2">
      <c r="A8" t="s">
        <v>542</v>
      </c>
      <c r="B8">
        <v>7</v>
      </c>
    </row>
    <row r="9" spans="1:2" x14ac:dyDescent="0.2">
      <c r="A9" t="s">
        <v>543</v>
      </c>
      <c r="B9">
        <v>8</v>
      </c>
    </row>
    <row r="10" spans="1:2" x14ac:dyDescent="0.2">
      <c r="A10" t="s">
        <v>532</v>
      </c>
      <c r="B10">
        <v>9</v>
      </c>
    </row>
    <row r="11" spans="1:2" x14ac:dyDescent="0.2">
      <c r="A11" t="s">
        <v>533</v>
      </c>
      <c r="B11">
        <v>10</v>
      </c>
    </row>
    <row r="12" spans="1:2" x14ac:dyDescent="0.2">
      <c r="A12" t="s">
        <v>534</v>
      </c>
      <c r="B12">
        <v>11</v>
      </c>
    </row>
    <row r="13" spans="1:2" x14ac:dyDescent="0.2">
      <c r="A13" t="s">
        <v>535</v>
      </c>
      <c r="B13">
        <v>12</v>
      </c>
    </row>
  </sheetData>
  <sortState xmlns:xlrd2="http://schemas.microsoft.com/office/spreadsheetml/2017/richdata2" ref="A2:B13">
    <sortCondition ref="B2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A1820-9CFA-4AA0-BE6D-4E3AF5917F24}">
  <dimension ref="A1:D528"/>
  <sheetViews>
    <sheetView showGridLines="0" topLeftCell="A40" workbookViewId="0">
      <selection activeCell="A2" sqref="A2"/>
    </sheetView>
  </sheetViews>
  <sheetFormatPr defaultRowHeight="15" x14ac:dyDescent="0.2"/>
  <cols>
    <col min="2" max="2" width="37.6640625" bestFit="1" customWidth="1"/>
  </cols>
  <sheetData>
    <row r="1" spans="1:4" x14ac:dyDescent="0.2">
      <c r="A1" t="s">
        <v>530</v>
      </c>
      <c r="B1" t="s">
        <v>531</v>
      </c>
    </row>
    <row r="2" spans="1:4" x14ac:dyDescent="0.2">
      <c r="A2">
        <v>527</v>
      </c>
      <c r="B2" t="s">
        <v>529</v>
      </c>
      <c r="D2">
        <f>527/2</f>
        <v>263.5</v>
      </c>
    </row>
    <row r="3" spans="1:4" x14ac:dyDescent="0.2">
      <c r="A3">
        <v>526</v>
      </c>
      <c r="B3" t="s">
        <v>528</v>
      </c>
    </row>
    <row r="4" spans="1:4" x14ac:dyDescent="0.2">
      <c r="A4">
        <v>525</v>
      </c>
      <c r="B4" t="s">
        <v>527</v>
      </c>
    </row>
    <row r="5" spans="1:4" x14ac:dyDescent="0.2">
      <c r="A5">
        <v>524</v>
      </c>
      <c r="B5" t="s">
        <v>526</v>
      </c>
    </row>
    <row r="6" spans="1:4" x14ac:dyDescent="0.2">
      <c r="A6">
        <v>523</v>
      </c>
      <c r="B6" t="s">
        <v>525</v>
      </c>
    </row>
    <row r="7" spans="1:4" x14ac:dyDescent="0.2">
      <c r="A7">
        <v>522</v>
      </c>
      <c r="B7" t="s">
        <v>524</v>
      </c>
    </row>
    <row r="8" spans="1:4" x14ac:dyDescent="0.2">
      <c r="A8">
        <v>521</v>
      </c>
      <c r="B8" t="s">
        <v>523</v>
      </c>
    </row>
    <row r="9" spans="1:4" x14ac:dyDescent="0.2">
      <c r="A9">
        <v>520</v>
      </c>
      <c r="B9" t="s">
        <v>522</v>
      </c>
    </row>
    <row r="10" spans="1:4" x14ac:dyDescent="0.2">
      <c r="A10">
        <v>519</v>
      </c>
      <c r="B10" t="s">
        <v>521</v>
      </c>
    </row>
    <row r="11" spans="1:4" x14ac:dyDescent="0.2">
      <c r="A11">
        <v>518</v>
      </c>
      <c r="B11" t="s">
        <v>520</v>
      </c>
    </row>
    <row r="12" spans="1:4" x14ac:dyDescent="0.2">
      <c r="A12">
        <v>517</v>
      </c>
      <c r="B12" t="s">
        <v>519</v>
      </c>
    </row>
    <row r="13" spans="1:4" x14ac:dyDescent="0.2">
      <c r="A13">
        <v>516</v>
      </c>
      <c r="B13" t="s">
        <v>518</v>
      </c>
    </row>
    <row r="14" spans="1:4" x14ac:dyDescent="0.2">
      <c r="A14">
        <v>515</v>
      </c>
      <c r="B14" t="s">
        <v>517</v>
      </c>
    </row>
    <row r="15" spans="1:4" x14ac:dyDescent="0.2">
      <c r="A15">
        <v>514</v>
      </c>
      <c r="B15" t="s">
        <v>516</v>
      </c>
    </row>
    <row r="16" spans="1:4" x14ac:dyDescent="0.2">
      <c r="A16">
        <v>513</v>
      </c>
      <c r="B16" t="s">
        <v>515</v>
      </c>
    </row>
    <row r="17" spans="1:2" x14ac:dyDescent="0.2">
      <c r="A17">
        <v>512</v>
      </c>
      <c r="B17" t="s">
        <v>514</v>
      </c>
    </row>
    <row r="18" spans="1:2" x14ac:dyDescent="0.2">
      <c r="A18">
        <v>511</v>
      </c>
      <c r="B18" t="s">
        <v>513</v>
      </c>
    </row>
    <row r="19" spans="1:2" x14ac:dyDescent="0.2">
      <c r="A19">
        <v>510</v>
      </c>
      <c r="B19" t="s">
        <v>512</v>
      </c>
    </row>
    <row r="20" spans="1:2" x14ac:dyDescent="0.2">
      <c r="A20">
        <v>509</v>
      </c>
      <c r="B20" t="s">
        <v>511</v>
      </c>
    </row>
    <row r="21" spans="1:2" x14ac:dyDescent="0.2">
      <c r="A21">
        <v>508</v>
      </c>
      <c r="B21" t="s">
        <v>510</v>
      </c>
    </row>
    <row r="22" spans="1:2" x14ac:dyDescent="0.2">
      <c r="A22">
        <v>507</v>
      </c>
      <c r="B22" t="s">
        <v>509</v>
      </c>
    </row>
    <row r="23" spans="1:2" x14ac:dyDescent="0.2">
      <c r="A23">
        <v>506</v>
      </c>
      <c r="B23" t="s">
        <v>508</v>
      </c>
    </row>
    <row r="24" spans="1:2" x14ac:dyDescent="0.2">
      <c r="A24">
        <v>505</v>
      </c>
      <c r="B24" t="s">
        <v>507</v>
      </c>
    </row>
    <row r="25" spans="1:2" x14ac:dyDescent="0.2">
      <c r="A25">
        <v>504</v>
      </c>
      <c r="B25" t="s">
        <v>506</v>
      </c>
    </row>
    <row r="26" spans="1:2" x14ac:dyDescent="0.2">
      <c r="A26">
        <v>503</v>
      </c>
      <c r="B26" t="s">
        <v>505</v>
      </c>
    </row>
    <row r="27" spans="1:2" x14ac:dyDescent="0.2">
      <c r="A27">
        <v>502</v>
      </c>
      <c r="B27" t="s">
        <v>504</v>
      </c>
    </row>
    <row r="28" spans="1:2" x14ac:dyDescent="0.2">
      <c r="A28">
        <v>501</v>
      </c>
      <c r="B28" t="s">
        <v>503</v>
      </c>
    </row>
    <row r="29" spans="1:2" x14ac:dyDescent="0.2">
      <c r="A29">
        <v>500</v>
      </c>
      <c r="B29" t="s">
        <v>502</v>
      </c>
    </row>
    <row r="30" spans="1:2" x14ac:dyDescent="0.2">
      <c r="A30">
        <v>499</v>
      </c>
      <c r="B30" t="s">
        <v>501</v>
      </c>
    </row>
    <row r="31" spans="1:2" x14ac:dyDescent="0.2">
      <c r="A31">
        <v>498</v>
      </c>
      <c r="B31" t="s">
        <v>500</v>
      </c>
    </row>
    <row r="32" spans="1:2" x14ac:dyDescent="0.2">
      <c r="A32">
        <v>497</v>
      </c>
      <c r="B32" t="s">
        <v>499</v>
      </c>
    </row>
    <row r="33" spans="1:2" x14ac:dyDescent="0.2">
      <c r="A33">
        <v>496</v>
      </c>
      <c r="B33" t="s">
        <v>498</v>
      </c>
    </row>
    <row r="34" spans="1:2" x14ac:dyDescent="0.2">
      <c r="A34">
        <v>495</v>
      </c>
      <c r="B34" t="s">
        <v>497</v>
      </c>
    </row>
    <row r="35" spans="1:2" x14ac:dyDescent="0.2">
      <c r="A35">
        <v>494</v>
      </c>
      <c r="B35" t="s">
        <v>496</v>
      </c>
    </row>
    <row r="36" spans="1:2" x14ac:dyDescent="0.2">
      <c r="A36">
        <v>493</v>
      </c>
      <c r="B36" t="s">
        <v>495</v>
      </c>
    </row>
    <row r="37" spans="1:2" x14ac:dyDescent="0.2">
      <c r="A37">
        <v>492</v>
      </c>
      <c r="B37" t="s">
        <v>494</v>
      </c>
    </row>
    <row r="38" spans="1:2" x14ac:dyDescent="0.2">
      <c r="A38">
        <v>491</v>
      </c>
      <c r="B38" t="s">
        <v>493</v>
      </c>
    </row>
    <row r="39" spans="1:2" x14ac:dyDescent="0.2">
      <c r="A39">
        <v>490</v>
      </c>
      <c r="B39" t="s">
        <v>492</v>
      </c>
    </row>
    <row r="40" spans="1:2" x14ac:dyDescent="0.2">
      <c r="A40">
        <v>489</v>
      </c>
      <c r="B40" t="s">
        <v>491</v>
      </c>
    </row>
    <row r="41" spans="1:2" x14ac:dyDescent="0.2">
      <c r="A41">
        <v>488</v>
      </c>
      <c r="B41" t="s">
        <v>490</v>
      </c>
    </row>
    <row r="42" spans="1:2" x14ac:dyDescent="0.2">
      <c r="A42">
        <v>487</v>
      </c>
      <c r="B42" t="s">
        <v>489</v>
      </c>
    </row>
    <row r="43" spans="1:2" x14ac:dyDescent="0.2">
      <c r="A43">
        <v>486</v>
      </c>
      <c r="B43" t="s">
        <v>488</v>
      </c>
    </row>
    <row r="44" spans="1:2" x14ac:dyDescent="0.2">
      <c r="A44">
        <v>485</v>
      </c>
      <c r="B44" t="s">
        <v>487</v>
      </c>
    </row>
    <row r="45" spans="1:2" x14ac:dyDescent="0.2">
      <c r="A45">
        <v>484</v>
      </c>
      <c r="B45" t="s">
        <v>486</v>
      </c>
    </row>
    <row r="46" spans="1:2" x14ac:dyDescent="0.2">
      <c r="A46">
        <v>483</v>
      </c>
      <c r="B46" t="s">
        <v>485</v>
      </c>
    </row>
    <row r="47" spans="1:2" x14ac:dyDescent="0.2">
      <c r="A47">
        <v>482</v>
      </c>
      <c r="B47" t="s">
        <v>484</v>
      </c>
    </row>
    <row r="48" spans="1:2" x14ac:dyDescent="0.2">
      <c r="A48">
        <v>481</v>
      </c>
      <c r="B48" t="s">
        <v>483</v>
      </c>
    </row>
    <row r="49" spans="1:2" x14ac:dyDescent="0.2">
      <c r="A49">
        <v>480</v>
      </c>
      <c r="B49" t="s">
        <v>482</v>
      </c>
    </row>
    <row r="50" spans="1:2" x14ac:dyDescent="0.2">
      <c r="A50">
        <v>479</v>
      </c>
      <c r="B50" t="s">
        <v>481</v>
      </c>
    </row>
    <row r="51" spans="1:2" x14ac:dyDescent="0.2">
      <c r="A51">
        <v>478</v>
      </c>
      <c r="B51" t="s">
        <v>480</v>
      </c>
    </row>
    <row r="52" spans="1:2" x14ac:dyDescent="0.2">
      <c r="A52">
        <v>477</v>
      </c>
      <c r="B52" t="s">
        <v>479</v>
      </c>
    </row>
    <row r="53" spans="1:2" x14ac:dyDescent="0.2">
      <c r="A53">
        <v>476</v>
      </c>
      <c r="B53" t="s">
        <v>478</v>
      </c>
    </row>
    <row r="54" spans="1:2" x14ac:dyDescent="0.2">
      <c r="A54">
        <v>475</v>
      </c>
      <c r="B54" t="s">
        <v>477</v>
      </c>
    </row>
    <row r="55" spans="1:2" x14ac:dyDescent="0.2">
      <c r="A55">
        <v>474</v>
      </c>
      <c r="B55" t="s">
        <v>476</v>
      </c>
    </row>
    <row r="56" spans="1:2" x14ac:dyDescent="0.2">
      <c r="A56">
        <v>473</v>
      </c>
      <c r="B56" t="s">
        <v>475</v>
      </c>
    </row>
    <row r="57" spans="1:2" x14ac:dyDescent="0.2">
      <c r="A57">
        <v>472</v>
      </c>
      <c r="B57" t="s">
        <v>474</v>
      </c>
    </row>
    <row r="58" spans="1:2" x14ac:dyDescent="0.2">
      <c r="A58">
        <v>471</v>
      </c>
      <c r="B58" t="s">
        <v>473</v>
      </c>
    </row>
    <row r="59" spans="1:2" x14ac:dyDescent="0.2">
      <c r="A59">
        <v>470</v>
      </c>
      <c r="B59" t="s">
        <v>472</v>
      </c>
    </row>
    <row r="60" spans="1:2" x14ac:dyDescent="0.2">
      <c r="A60">
        <v>469</v>
      </c>
      <c r="B60" t="s">
        <v>471</v>
      </c>
    </row>
    <row r="61" spans="1:2" x14ac:dyDescent="0.2">
      <c r="A61">
        <v>468</v>
      </c>
      <c r="B61" t="s">
        <v>470</v>
      </c>
    </row>
    <row r="62" spans="1:2" x14ac:dyDescent="0.2">
      <c r="A62">
        <v>467</v>
      </c>
      <c r="B62" t="s">
        <v>469</v>
      </c>
    </row>
    <row r="63" spans="1:2" x14ac:dyDescent="0.2">
      <c r="A63">
        <v>466</v>
      </c>
      <c r="B63" t="s">
        <v>468</v>
      </c>
    </row>
    <row r="64" spans="1:2" x14ac:dyDescent="0.2">
      <c r="A64">
        <v>465</v>
      </c>
      <c r="B64" t="s">
        <v>467</v>
      </c>
    </row>
    <row r="65" spans="1:2" x14ac:dyDescent="0.2">
      <c r="A65">
        <v>464</v>
      </c>
      <c r="B65" t="s">
        <v>466</v>
      </c>
    </row>
    <row r="66" spans="1:2" x14ac:dyDescent="0.2">
      <c r="A66">
        <v>463</v>
      </c>
      <c r="B66" t="s">
        <v>465</v>
      </c>
    </row>
    <row r="67" spans="1:2" x14ac:dyDescent="0.2">
      <c r="A67">
        <v>462</v>
      </c>
      <c r="B67" t="s">
        <v>464</v>
      </c>
    </row>
    <row r="68" spans="1:2" x14ac:dyDescent="0.2">
      <c r="A68">
        <v>461</v>
      </c>
      <c r="B68" t="s">
        <v>463</v>
      </c>
    </row>
    <row r="69" spans="1:2" x14ac:dyDescent="0.2">
      <c r="A69">
        <v>460</v>
      </c>
      <c r="B69" t="s">
        <v>462</v>
      </c>
    </row>
    <row r="70" spans="1:2" x14ac:dyDescent="0.2">
      <c r="A70">
        <v>459</v>
      </c>
      <c r="B70" t="s">
        <v>461</v>
      </c>
    </row>
    <row r="71" spans="1:2" x14ac:dyDescent="0.2">
      <c r="A71">
        <v>458</v>
      </c>
      <c r="B71" t="s">
        <v>460</v>
      </c>
    </row>
    <row r="72" spans="1:2" x14ac:dyDescent="0.2">
      <c r="A72">
        <v>457</v>
      </c>
      <c r="B72" t="s">
        <v>459</v>
      </c>
    </row>
    <row r="73" spans="1:2" x14ac:dyDescent="0.2">
      <c r="A73">
        <v>456</v>
      </c>
      <c r="B73" t="s">
        <v>458</v>
      </c>
    </row>
    <row r="74" spans="1:2" x14ac:dyDescent="0.2">
      <c r="A74">
        <v>455</v>
      </c>
      <c r="B74" t="s">
        <v>457</v>
      </c>
    </row>
    <row r="75" spans="1:2" x14ac:dyDescent="0.2">
      <c r="A75">
        <v>454</v>
      </c>
      <c r="B75" t="s">
        <v>456</v>
      </c>
    </row>
    <row r="76" spans="1:2" x14ac:dyDescent="0.2">
      <c r="A76">
        <v>453</v>
      </c>
      <c r="B76" t="s">
        <v>455</v>
      </c>
    </row>
    <row r="77" spans="1:2" x14ac:dyDescent="0.2">
      <c r="A77">
        <v>452</v>
      </c>
      <c r="B77" t="s">
        <v>454</v>
      </c>
    </row>
    <row r="78" spans="1:2" x14ac:dyDescent="0.2">
      <c r="A78">
        <v>451</v>
      </c>
      <c r="B78" t="s">
        <v>453</v>
      </c>
    </row>
    <row r="79" spans="1:2" x14ac:dyDescent="0.2">
      <c r="A79">
        <v>450</v>
      </c>
      <c r="B79" t="s">
        <v>452</v>
      </c>
    </row>
    <row r="80" spans="1:2" x14ac:dyDescent="0.2">
      <c r="A80">
        <v>449</v>
      </c>
      <c r="B80" t="s">
        <v>451</v>
      </c>
    </row>
    <row r="81" spans="1:2" x14ac:dyDescent="0.2">
      <c r="A81">
        <v>448</v>
      </c>
      <c r="B81" t="s">
        <v>450</v>
      </c>
    </row>
    <row r="82" spans="1:2" x14ac:dyDescent="0.2">
      <c r="A82">
        <v>447</v>
      </c>
      <c r="B82" t="s">
        <v>449</v>
      </c>
    </row>
    <row r="83" spans="1:2" x14ac:dyDescent="0.2">
      <c r="A83">
        <v>446</v>
      </c>
      <c r="B83" t="s">
        <v>448</v>
      </c>
    </row>
    <row r="84" spans="1:2" x14ac:dyDescent="0.2">
      <c r="A84">
        <v>445</v>
      </c>
      <c r="B84" t="s">
        <v>447</v>
      </c>
    </row>
    <row r="85" spans="1:2" x14ac:dyDescent="0.2">
      <c r="A85">
        <v>444</v>
      </c>
      <c r="B85" t="s">
        <v>446</v>
      </c>
    </row>
    <row r="86" spans="1:2" x14ac:dyDescent="0.2">
      <c r="A86">
        <v>443</v>
      </c>
      <c r="B86" t="s">
        <v>445</v>
      </c>
    </row>
    <row r="87" spans="1:2" x14ac:dyDescent="0.2">
      <c r="A87">
        <v>442</v>
      </c>
      <c r="B87" t="s">
        <v>444</v>
      </c>
    </row>
    <row r="88" spans="1:2" x14ac:dyDescent="0.2">
      <c r="A88">
        <v>441</v>
      </c>
      <c r="B88" t="s">
        <v>443</v>
      </c>
    </row>
    <row r="89" spans="1:2" x14ac:dyDescent="0.2">
      <c r="A89">
        <v>440</v>
      </c>
      <c r="B89" t="s">
        <v>442</v>
      </c>
    </row>
    <row r="90" spans="1:2" x14ac:dyDescent="0.2">
      <c r="A90">
        <v>439</v>
      </c>
      <c r="B90" t="s">
        <v>441</v>
      </c>
    </row>
    <row r="91" spans="1:2" x14ac:dyDescent="0.2">
      <c r="A91">
        <v>438</v>
      </c>
      <c r="B91" t="s">
        <v>440</v>
      </c>
    </row>
    <row r="92" spans="1:2" x14ac:dyDescent="0.2">
      <c r="A92">
        <v>437</v>
      </c>
      <c r="B92" t="s">
        <v>439</v>
      </c>
    </row>
    <row r="93" spans="1:2" x14ac:dyDescent="0.2">
      <c r="A93">
        <v>436</v>
      </c>
      <c r="B93" t="s">
        <v>438</v>
      </c>
    </row>
    <row r="94" spans="1:2" x14ac:dyDescent="0.2">
      <c r="A94">
        <v>435</v>
      </c>
      <c r="B94" t="s">
        <v>437</v>
      </c>
    </row>
    <row r="95" spans="1:2" x14ac:dyDescent="0.2">
      <c r="A95">
        <v>434</v>
      </c>
      <c r="B95" t="s">
        <v>436</v>
      </c>
    </row>
    <row r="96" spans="1:2" x14ac:dyDescent="0.2">
      <c r="A96">
        <v>433</v>
      </c>
      <c r="B96" t="s">
        <v>435</v>
      </c>
    </row>
    <row r="97" spans="1:2" x14ac:dyDescent="0.2">
      <c r="A97">
        <v>432</v>
      </c>
      <c r="B97" t="s">
        <v>434</v>
      </c>
    </row>
    <row r="98" spans="1:2" x14ac:dyDescent="0.2">
      <c r="A98">
        <v>431</v>
      </c>
      <c r="B98" t="s">
        <v>433</v>
      </c>
    </row>
    <row r="99" spans="1:2" x14ac:dyDescent="0.2">
      <c r="A99">
        <v>430</v>
      </c>
      <c r="B99" t="s">
        <v>432</v>
      </c>
    </row>
    <row r="100" spans="1:2" x14ac:dyDescent="0.2">
      <c r="A100">
        <v>429</v>
      </c>
      <c r="B100" t="s">
        <v>431</v>
      </c>
    </row>
    <row r="101" spans="1:2" x14ac:dyDescent="0.2">
      <c r="A101">
        <v>428</v>
      </c>
      <c r="B101" t="s">
        <v>430</v>
      </c>
    </row>
    <row r="102" spans="1:2" x14ac:dyDescent="0.2">
      <c r="A102">
        <v>427</v>
      </c>
      <c r="B102" t="s">
        <v>429</v>
      </c>
    </row>
    <row r="103" spans="1:2" x14ac:dyDescent="0.2">
      <c r="A103">
        <v>426</v>
      </c>
      <c r="B103" t="s">
        <v>428</v>
      </c>
    </row>
    <row r="104" spans="1:2" x14ac:dyDescent="0.2">
      <c r="A104">
        <v>425</v>
      </c>
      <c r="B104" t="s">
        <v>427</v>
      </c>
    </row>
    <row r="105" spans="1:2" x14ac:dyDescent="0.2">
      <c r="A105">
        <v>424</v>
      </c>
      <c r="B105" t="s">
        <v>426</v>
      </c>
    </row>
    <row r="106" spans="1:2" x14ac:dyDescent="0.2">
      <c r="A106">
        <v>423</v>
      </c>
      <c r="B106" t="s">
        <v>425</v>
      </c>
    </row>
    <row r="107" spans="1:2" x14ac:dyDescent="0.2">
      <c r="A107">
        <v>422</v>
      </c>
      <c r="B107" t="s">
        <v>424</v>
      </c>
    </row>
    <row r="108" spans="1:2" x14ac:dyDescent="0.2">
      <c r="A108">
        <v>421</v>
      </c>
      <c r="B108" t="s">
        <v>423</v>
      </c>
    </row>
    <row r="109" spans="1:2" x14ac:dyDescent="0.2">
      <c r="A109">
        <v>420</v>
      </c>
      <c r="B109" t="s">
        <v>422</v>
      </c>
    </row>
    <row r="110" spans="1:2" x14ac:dyDescent="0.2">
      <c r="A110">
        <v>419</v>
      </c>
      <c r="B110" t="s">
        <v>421</v>
      </c>
    </row>
    <row r="111" spans="1:2" x14ac:dyDescent="0.2">
      <c r="A111">
        <v>418</v>
      </c>
      <c r="B111" t="s">
        <v>420</v>
      </c>
    </row>
    <row r="112" spans="1:2" x14ac:dyDescent="0.2">
      <c r="A112">
        <v>417</v>
      </c>
      <c r="B112" t="s">
        <v>419</v>
      </c>
    </row>
    <row r="113" spans="1:2" x14ac:dyDescent="0.2">
      <c r="A113">
        <v>416</v>
      </c>
      <c r="B113" t="s">
        <v>418</v>
      </c>
    </row>
    <row r="114" spans="1:2" x14ac:dyDescent="0.2">
      <c r="A114">
        <v>415</v>
      </c>
      <c r="B114" t="s">
        <v>417</v>
      </c>
    </row>
    <row r="115" spans="1:2" x14ac:dyDescent="0.2">
      <c r="A115">
        <v>414</v>
      </c>
      <c r="B115" t="s">
        <v>416</v>
      </c>
    </row>
    <row r="116" spans="1:2" x14ac:dyDescent="0.2">
      <c r="A116">
        <v>413</v>
      </c>
      <c r="B116" t="s">
        <v>415</v>
      </c>
    </row>
    <row r="117" spans="1:2" x14ac:dyDescent="0.2">
      <c r="A117">
        <v>412</v>
      </c>
      <c r="B117" t="s">
        <v>414</v>
      </c>
    </row>
    <row r="118" spans="1:2" x14ac:dyDescent="0.2">
      <c r="A118">
        <v>411</v>
      </c>
      <c r="B118" t="s">
        <v>413</v>
      </c>
    </row>
    <row r="119" spans="1:2" x14ac:dyDescent="0.2">
      <c r="A119">
        <v>410</v>
      </c>
      <c r="B119" t="s">
        <v>412</v>
      </c>
    </row>
    <row r="120" spans="1:2" x14ac:dyDescent="0.2">
      <c r="A120">
        <v>409</v>
      </c>
      <c r="B120" t="s">
        <v>411</v>
      </c>
    </row>
    <row r="121" spans="1:2" x14ac:dyDescent="0.2">
      <c r="A121">
        <v>408</v>
      </c>
      <c r="B121" t="s">
        <v>410</v>
      </c>
    </row>
    <row r="122" spans="1:2" x14ac:dyDescent="0.2">
      <c r="A122">
        <v>407</v>
      </c>
      <c r="B122" t="s">
        <v>409</v>
      </c>
    </row>
    <row r="123" spans="1:2" x14ac:dyDescent="0.2">
      <c r="A123">
        <v>406</v>
      </c>
      <c r="B123" t="s">
        <v>408</v>
      </c>
    </row>
    <row r="124" spans="1:2" x14ac:dyDescent="0.2">
      <c r="A124">
        <v>405</v>
      </c>
      <c r="B124" t="s">
        <v>407</v>
      </c>
    </row>
    <row r="125" spans="1:2" x14ac:dyDescent="0.2">
      <c r="A125">
        <v>404</v>
      </c>
      <c r="B125" t="s">
        <v>406</v>
      </c>
    </row>
    <row r="126" spans="1:2" x14ac:dyDescent="0.2">
      <c r="A126">
        <v>403</v>
      </c>
      <c r="B126" t="s">
        <v>405</v>
      </c>
    </row>
    <row r="127" spans="1:2" x14ac:dyDescent="0.2">
      <c r="A127">
        <v>402</v>
      </c>
      <c r="B127" t="s">
        <v>404</v>
      </c>
    </row>
    <row r="128" spans="1:2" x14ac:dyDescent="0.2">
      <c r="A128">
        <v>401</v>
      </c>
      <c r="B128" t="s">
        <v>403</v>
      </c>
    </row>
    <row r="129" spans="1:2" x14ac:dyDescent="0.2">
      <c r="A129">
        <v>400</v>
      </c>
      <c r="B129" t="s">
        <v>402</v>
      </c>
    </row>
    <row r="130" spans="1:2" x14ac:dyDescent="0.2">
      <c r="A130">
        <v>399</v>
      </c>
      <c r="B130" t="s">
        <v>401</v>
      </c>
    </row>
    <row r="131" spans="1:2" x14ac:dyDescent="0.2">
      <c r="A131">
        <v>398</v>
      </c>
      <c r="B131" t="s">
        <v>400</v>
      </c>
    </row>
    <row r="132" spans="1:2" x14ac:dyDescent="0.2">
      <c r="A132">
        <v>397</v>
      </c>
      <c r="B132" t="s">
        <v>399</v>
      </c>
    </row>
    <row r="133" spans="1:2" x14ac:dyDescent="0.2">
      <c r="A133">
        <v>396</v>
      </c>
      <c r="B133" t="s">
        <v>398</v>
      </c>
    </row>
    <row r="134" spans="1:2" x14ac:dyDescent="0.2">
      <c r="A134">
        <v>395</v>
      </c>
      <c r="B134" t="s">
        <v>397</v>
      </c>
    </row>
    <row r="135" spans="1:2" x14ac:dyDescent="0.2">
      <c r="A135">
        <v>394</v>
      </c>
      <c r="B135" t="s">
        <v>396</v>
      </c>
    </row>
    <row r="136" spans="1:2" x14ac:dyDescent="0.2">
      <c r="A136">
        <v>393</v>
      </c>
      <c r="B136" t="s">
        <v>395</v>
      </c>
    </row>
    <row r="137" spans="1:2" x14ac:dyDescent="0.2">
      <c r="A137">
        <v>392</v>
      </c>
      <c r="B137" t="s">
        <v>394</v>
      </c>
    </row>
    <row r="138" spans="1:2" x14ac:dyDescent="0.2">
      <c r="A138">
        <v>391</v>
      </c>
      <c r="B138" t="s">
        <v>393</v>
      </c>
    </row>
    <row r="139" spans="1:2" x14ac:dyDescent="0.2">
      <c r="A139">
        <v>390</v>
      </c>
      <c r="B139" t="s">
        <v>392</v>
      </c>
    </row>
    <row r="140" spans="1:2" x14ac:dyDescent="0.2">
      <c r="A140">
        <v>389</v>
      </c>
      <c r="B140" t="s">
        <v>391</v>
      </c>
    </row>
    <row r="141" spans="1:2" x14ac:dyDescent="0.2">
      <c r="A141">
        <v>388</v>
      </c>
      <c r="B141" t="s">
        <v>390</v>
      </c>
    </row>
    <row r="142" spans="1:2" x14ac:dyDescent="0.2">
      <c r="A142">
        <v>387</v>
      </c>
      <c r="B142" t="s">
        <v>389</v>
      </c>
    </row>
    <row r="143" spans="1:2" x14ac:dyDescent="0.2">
      <c r="A143">
        <v>386</v>
      </c>
      <c r="B143" t="s">
        <v>388</v>
      </c>
    </row>
    <row r="144" spans="1:2" x14ac:dyDescent="0.2">
      <c r="A144">
        <v>385</v>
      </c>
      <c r="B144" t="s">
        <v>387</v>
      </c>
    </row>
    <row r="145" spans="1:2" x14ac:dyDescent="0.2">
      <c r="A145">
        <v>384</v>
      </c>
      <c r="B145" t="s">
        <v>386</v>
      </c>
    </row>
    <row r="146" spans="1:2" x14ac:dyDescent="0.2">
      <c r="A146">
        <v>383</v>
      </c>
      <c r="B146" t="s">
        <v>385</v>
      </c>
    </row>
    <row r="147" spans="1:2" x14ac:dyDescent="0.2">
      <c r="A147">
        <v>382</v>
      </c>
      <c r="B147" t="s">
        <v>384</v>
      </c>
    </row>
    <row r="148" spans="1:2" x14ac:dyDescent="0.2">
      <c r="A148">
        <v>381</v>
      </c>
      <c r="B148" t="s">
        <v>383</v>
      </c>
    </row>
    <row r="149" spans="1:2" x14ac:dyDescent="0.2">
      <c r="A149">
        <v>380</v>
      </c>
      <c r="B149" t="s">
        <v>382</v>
      </c>
    </row>
    <row r="150" spans="1:2" x14ac:dyDescent="0.2">
      <c r="A150">
        <v>379</v>
      </c>
      <c r="B150" t="s">
        <v>381</v>
      </c>
    </row>
    <row r="151" spans="1:2" x14ac:dyDescent="0.2">
      <c r="A151">
        <v>378</v>
      </c>
      <c r="B151" t="s">
        <v>380</v>
      </c>
    </row>
    <row r="152" spans="1:2" x14ac:dyDescent="0.2">
      <c r="A152">
        <v>377</v>
      </c>
      <c r="B152" t="s">
        <v>379</v>
      </c>
    </row>
    <row r="153" spans="1:2" x14ac:dyDescent="0.2">
      <c r="A153">
        <v>376</v>
      </c>
      <c r="B153" t="s">
        <v>378</v>
      </c>
    </row>
    <row r="154" spans="1:2" x14ac:dyDescent="0.2">
      <c r="A154">
        <v>375</v>
      </c>
      <c r="B154" t="s">
        <v>377</v>
      </c>
    </row>
    <row r="155" spans="1:2" x14ac:dyDescent="0.2">
      <c r="A155">
        <v>374</v>
      </c>
      <c r="B155" t="s">
        <v>376</v>
      </c>
    </row>
    <row r="156" spans="1:2" x14ac:dyDescent="0.2">
      <c r="A156">
        <v>373</v>
      </c>
      <c r="B156" t="s">
        <v>375</v>
      </c>
    </row>
    <row r="157" spans="1:2" x14ac:dyDescent="0.2">
      <c r="A157">
        <v>372</v>
      </c>
      <c r="B157" t="s">
        <v>374</v>
      </c>
    </row>
    <row r="158" spans="1:2" x14ac:dyDescent="0.2">
      <c r="A158">
        <v>371</v>
      </c>
      <c r="B158" t="s">
        <v>373</v>
      </c>
    </row>
    <row r="159" spans="1:2" x14ac:dyDescent="0.2">
      <c r="A159">
        <v>370</v>
      </c>
      <c r="B159" t="s">
        <v>372</v>
      </c>
    </row>
    <row r="160" spans="1:2" x14ac:dyDescent="0.2">
      <c r="A160">
        <v>369</v>
      </c>
      <c r="B160" t="s">
        <v>371</v>
      </c>
    </row>
    <row r="161" spans="1:2" x14ac:dyDescent="0.2">
      <c r="A161">
        <v>368</v>
      </c>
      <c r="B161" t="s">
        <v>370</v>
      </c>
    </row>
    <row r="162" spans="1:2" x14ac:dyDescent="0.2">
      <c r="A162">
        <v>367</v>
      </c>
      <c r="B162" t="s">
        <v>369</v>
      </c>
    </row>
    <row r="163" spans="1:2" x14ac:dyDescent="0.2">
      <c r="A163">
        <v>366</v>
      </c>
      <c r="B163" t="s">
        <v>368</v>
      </c>
    </row>
    <row r="164" spans="1:2" x14ac:dyDescent="0.2">
      <c r="A164">
        <v>365</v>
      </c>
      <c r="B164" t="s">
        <v>367</v>
      </c>
    </row>
    <row r="165" spans="1:2" x14ac:dyDescent="0.2">
      <c r="A165">
        <v>364</v>
      </c>
      <c r="B165" t="s">
        <v>366</v>
      </c>
    </row>
    <row r="166" spans="1:2" x14ac:dyDescent="0.2">
      <c r="A166">
        <v>363</v>
      </c>
      <c r="B166" t="s">
        <v>365</v>
      </c>
    </row>
    <row r="167" spans="1:2" x14ac:dyDescent="0.2">
      <c r="A167">
        <v>362</v>
      </c>
      <c r="B167" t="s">
        <v>364</v>
      </c>
    </row>
    <row r="168" spans="1:2" x14ac:dyDescent="0.2">
      <c r="A168">
        <v>361</v>
      </c>
      <c r="B168" t="s">
        <v>363</v>
      </c>
    </row>
    <row r="169" spans="1:2" x14ac:dyDescent="0.2">
      <c r="A169">
        <v>360</v>
      </c>
      <c r="B169" t="s">
        <v>362</v>
      </c>
    </row>
    <row r="170" spans="1:2" x14ac:dyDescent="0.2">
      <c r="A170">
        <v>359</v>
      </c>
      <c r="B170" t="s">
        <v>361</v>
      </c>
    </row>
    <row r="171" spans="1:2" x14ac:dyDescent="0.2">
      <c r="A171">
        <v>358</v>
      </c>
      <c r="B171" t="s">
        <v>360</v>
      </c>
    </row>
    <row r="172" spans="1:2" x14ac:dyDescent="0.2">
      <c r="A172">
        <v>357</v>
      </c>
      <c r="B172" t="s">
        <v>359</v>
      </c>
    </row>
    <row r="173" spans="1:2" x14ac:dyDescent="0.2">
      <c r="A173">
        <v>356</v>
      </c>
      <c r="B173" t="s">
        <v>358</v>
      </c>
    </row>
    <row r="174" spans="1:2" x14ac:dyDescent="0.2">
      <c r="A174">
        <v>355</v>
      </c>
      <c r="B174" t="s">
        <v>357</v>
      </c>
    </row>
    <row r="175" spans="1:2" x14ac:dyDescent="0.2">
      <c r="A175">
        <v>354</v>
      </c>
      <c r="B175" t="s">
        <v>356</v>
      </c>
    </row>
    <row r="176" spans="1:2" x14ac:dyDescent="0.2">
      <c r="A176">
        <v>353</v>
      </c>
      <c r="B176" t="s">
        <v>355</v>
      </c>
    </row>
    <row r="177" spans="1:2" x14ac:dyDescent="0.2">
      <c r="A177">
        <v>352</v>
      </c>
      <c r="B177" t="s">
        <v>354</v>
      </c>
    </row>
    <row r="178" spans="1:2" x14ac:dyDescent="0.2">
      <c r="A178">
        <v>351</v>
      </c>
      <c r="B178" t="s">
        <v>353</v>
      </c>
    </row>
    <row r="179" spans="1:2" x14ac:dyDescent="0.2">
      <c r="A179">
        <v>350</v>
      </c>
      <c r="B179" t="s">
        <v>352</v>
      </c>
    </row>
    <row r="180" spans="1:2" x14ac:dyDescent="0.2">
      <c r="A180">
        <v>349</v>
      </c>
      <c r="B180" t="s">
        <v>351</v>
      </c>
    </row>
    <row r="181" spans="1:2" x14ac:dyDescent="0.2">
      <c r="A181">
        <v>348</v>
      </c>
      <c r="B181" t="s">
        <v>350</v>
      </c>
    </row>
    <row r="182" spans="1:2" x14ac:dyDescent="0.2">
      <c r="A182">
        <v>347</v>
      </c>
      <c r="B182" t="s">
        <v>349</v>
      </c>
    </row>
    <row r="183" spans="1:2" x14ac:dyDescent="0.2">
      <c r="A183">
        <v>346</v>
      </c>
      <c r="B183" t="s">
        <v>348</v>
      </c>
    </row>
    <row r="184" spans="1:2" x14ac:dyDescent="0.2">
      <c r="A184">
        <v>345</v>
      </c>
      <c r="B184" t="s">
        <v>347</v>
      </c>
    </row>
    <row r="185" spans="1:2" x14ac:dyDescent="0.2">
      <c r="A185">
        <v>344</v>
      </c>
      <c r="B185" t="s">
        <v>346</v>
      </c>
    </row>
    <row r="186" spans="1:2" x14ac:dyDescent="0.2">
      <c r="A186">
        <v>343</v>
      </c>
      <c r="B186" t="s">
        <v>345</v>
      </c>
    </row>
    <row r="187" spans="1:2" x14ac:dyDescent="0.2">
      <c r="A187">
        <v>342</v>
      </c>
      <c r="B187" t="s">
        <v>344</v>
      </c>
    </row>
    <row r="188" spans="1:2" x14ac:dyDescent="0.2">
      <c r="A188">
        <v>341</v>
      </c>
      <c r="B188" t="s">
        <v>343</v>
      </c>
    </row>
    <row r="189" spans="1:2" x14ac:dyDescent="0.2">
      <c r="A189">
        <v>340</v>
      </c>
      <c r="B189" t="s">
        <v>342</v>
      </c>
    </row>
    <row r="190" spans="1:2" x14ac:dyDescent="0.2">
      <c r="A190">
        <v>339</v>
      </c>
      <c r="B190" t="s">
        <v>341</v>
      </c>
    </row>
    <row r="191" spans="1:2" x14ac:dyDescent="0.2">
      <c r="A191">
        <v>338</v>
      </c>
      <c r="B191" t="s">
        <v>340</v>
      </c>
    </row>
    <row r="192" spans="1:2" x14ac:dyDescent="0.2">
      <c r="A192">
        <v>337</v>
      </c>
      <c r="B192" t="s">
        <v>339</v>
      </c>
    </row>
    <row r="193" spans="1:2" x14ac:dyDescent="0.2">
      <c r="A193">
        <v>336</v>
      </c>
      <c r="B193" t="s">
        <v>338</v>
      </c>
    </row>
    <row r="194" spans="1:2" x14ac:dyDescent="0.2">
      <c r="A194">
        <v>335</v>
      </c>
      <c r="B194" t="s">
        <v>337</v>
      </c>
    </row>
    <row r="195" spans="1:2" x14ac:dyDescent="0.2">
      <c r="A195">
        <v>334</v>
      </c>
      <c r="B195" t="s">
        <v>336</v>
      </c>
    </row>
    <row r="196" spans="1:2" x14ac:dyDescent="0.2">
      <c r="A196">
        <v>333</v>
      </c>
      <c r="B196" t="s">
        <v>335</v>
      </c>
    </row>
    <row r="197" spans="1:2" x14ac:dyDescent="0.2">
      <c r="A197">
        <v>332</v>
      </c>
      <c r="B197" t="s">
        <v>334</v>
      </c>
    </row>
    <row r="198" spans="1:2" x14ac:dyDescent="0.2">
      <c r="A198">
        <v>331</v>
      </c>
      <c r="B198" t="s">
        <v>333</v>
      </c>
    </row>
    <row r="199" spans="1:2" x14ac:dyDescent="0.2">
      <c r="A199">
        <v>330</v>
      </c>
      <c r="B199" t="s">
        <v>332</v>
      </c>
    </row>
    <row r="200" spans="1:2" x14ac:dyDescent="0.2">
      <c r="A200">
        <v>329</v>
      </c>
      <c r="B200" t="s">
        <v>331</v>
      </c>
    </row>
    <row r="201" spans="1:2" x14ac:dyDescent="0.2">
      <c r="A201">
        <v>328</v>
      </c>
      <c r="B201" t="s">
        <v>330</v>
      </c>
    </row>
    <row r="202" spans="1:2" x14ac:dyDescent="0.2">
      <c r="A202">
        <v>327</v>
      </c>
      <c r="B202" t="s">
        <v>329</v>
      </c>
    </row>
    <row r="203" spans="1:2" x14ac:dyDescent="0.2">
      <c r="A203">
        <v>326</v>
      </c>
      <c r="B203" t="s">
        <v>328</v>
      </c>
    </row>
    <row r="204" spans="1:2" x14ac:dyDescent="0.2">
      <c r="A204">
        <v>325</v>
      </c>
      <c r="B204" t="s">
        <v>327</v>
      </c>
    </row>
    <row r="205" spans="1:2" x14ac:dyDescent="0.2">
      <c r="A205">
        <v>324</v>
      </c>
      <c r="B205" t="s">
        <v>326</v>
      </c>
    </row>
    <row r="206" spans="1:2" x14ac:dyDescent="0.2">
      <c r="A206">
        <v>323</v>
      </c>
      <c r="B206" t="s">
        <v>325</v>
      </c>
    </row>
    <row r="207" spans="1:2" x14ac:dyDescent="0.2">
      <c r="A207">
        <v>322</v>
      </c>
      <c r="B207" t="s">
        <v>324</v>
      </c>
    </row>
    <row r="208" spans="1:2" x14ac:dyDescent="0.2">
      <c r="A208">
        <v>321</v>
      </c>
      <c r="B208" t="s">
        <v>323</v>
      </c>
    </row>
    <row r="209" spans="1:2" x14ac:dyDescent="0.2">
      <c r="A209">
        <v>320</v>
      </c>
      <c r="B209" t="s">
        <v>322</v>
      </c>
    </row>
    <row r="210" spans="1:2" x14ac:dyDescent="0.2">
      <c r="A210">
        <v>319</v>
      </c>
      <c r="B210" t="s">
        <v>321</v>
      </c>
    </row>
    <row r="211" spans="1:2" x14ac:dyDescent="0.2">
      <c r="A211">
        <v>318</v>
      </c>
      <c r="B211" t="s">
        <v>320</v>
      </c>
    </row>
    <row r="212" spans="1:2" x14ac:dyDescent="0.2">
      <c r="A212">
        <v>317</v>
      </c>
      <c r="B212" t="s">
        <v>319</v>
      </c>
    </row>
    <row r="213" spans="1:2" x14ac:dyDescent="0.2">
      <c r="A213">
        <v>316</v>
      </c>
      <c r="B213" t="s">
        <v>318</v>
      </c>
    </row>
    <row r="214" spans="1:2" x14ac:dyDescent="0.2">
      <c r="A214">
        <v>315</v>
      </c>
      <c r="B214" t="s">
        <v>317</v>
      </c>
    </row>
    <row r="215" spans="1:2" x14ac:dyDescent="0.2">
      <c r="A215">
        <v>314</v>
      </c>
      <c r="B215" t="s">
        <v>316</v>
      </c>
    </row>
    <row r="216" spans="1:2" x14ac:dyDescent="0.2">
      <c r="A216">
        <v>313</v>
      </c>
      <c r="B216" t="s">
        <v>315</v>
      </c>
    </row>
    <row r="217" spans="1:2" x14ac:dyDescent="0.2">
      <c r="A217">
        <v>312</v>
      </c>
      <c r="B217" t="s">
        <v>314</v>
      </c>
    </row>
    <row r="218" spans="1:2" x14ac:dyDescent="0.2">
      <c r="A218">
        <v>311</v>
      </c>
      <c r="B218" t="s">
        <v>313</v>
      </c>
    </row>
    <row r="219" spans="1:2" x14ac:dyDescent="0.2">
      <c r="A219">
        <v>310</v>
      </c>
      <c r="B219" t="s">
        <v>312</v>
      </c>
    </row>
    <row r="220" spans="1:2" x14ac:dyDescent="0.2">
      <c r="A220">
        <v>309</v>
      </c>
      <c r="B220" t="s">
        <v>311</v>
      </c>
    </row>
    <row r="221" spans="1:2" x14ac:dyDescent="0.2">
      <c r="A221">
        <v>308</v>
      </c>
      <c r="B221" t="s">
        <v>310</v>
      </c>
    </row>
    <row r="222" spans="1:2" x14ac:dyDescent="0.2">
      <c r="A222">
        <v>307</v>
      </c>
      <c r="B222" t="s">
        <v>309</v>
      </c>
    </row>
    <row r="223" spans="1:2" x14ac:dyDescent="0.2">
      <c r="A223">
        <v>306</v>
      </c>
      <c r="B223" t="s">
        <v>308</v>
      </c>
    </row>
    <row r="224" spans="1:2" x14ac:dyDescent="0.2">
      <c r="A224">
        <v>305</v>
      </c>
      <c r="B224" t="s">
        <v>307</v>
      </c>
    </row>
    <row r="225" spans="1:2" x14ac:dyDescent="0.2">
      <c r="A225">
        <v>304</v>
      </c>
      <c r="B225" t="s">
        <v>306</v>
      </c>
    </row>
    <row r="226" spans="1:2" x14ac:dyDescent="0.2">
      <c r="A226">
        <v>303</v>
      </c>
      <c r="B226" t="s">
        <v>305</v>
      </c>
    </row>
    <row r="227" spans="1:2" x14ac:dyDescent="0.2">
      <c r="A227">
        <v>302</v>
      </c>
      <c r="B227" t="s">
        <v>304</v>
      </c>
    </row>
    <row r="228" spans="1:2" x14ac:dyDescent="0.2">
      <c r="A228">
        <v>301</v>
      </c>
      <c r="B228" t="s">
        <v>303</v>
      </c>
    </row>
    <row r="229" spans="1:2" x14ac:dyDescent="0.2">
      <c r="A229">
        <v>300</v>
      </c>
      <c r="B229" t="s">
        <v>302</v>
      </c>
    </row>
    <row r="230" spans="1:2" x14ac:dyDescent="0.2">
      <c r="A230">
        <v>299</v>
      </c>
      <c r="B230" t="s">
        <v>301</v>
      </c>
    </row>
    <row r="231" spans="1:2" x14ac:dyDescent="0.2">
      <c r="A231">
        <v>298</v>
      </c>
      <c r="B231" t="s">
        <v>300</v>
      </c>
    </row>
    <row r="232" spans="1:2" x14ac:dyDescent="0.2">
      <c r="A232">
        <v>297</v>
      </c>
      <c r="B232" t="s">
        <v>299</v>
      </c>
    </row>
    <row r="233" spans="1:2" x14ac:dyDescent="0.2">
      <c r="A233">
        <v>296</v>
      </c>
      <c r="B233" t="s">
        <v>298</v>
      </c>
    </row>
    <row r="234" spans="1:2" x14ac:dyDescent="0.2">
      <c r="A234">
        <v>295</v>
      </c>
      <c r="B234" t="s">
        <v>297</v>
      </c>
    </row>
    <row r="235" spans="1:2" x14ac:dyDescent="0.2">
      <c r="A235">
        <v>294</v>
      </c>
      <c r="B235" t="s">
        <v>296</v>
      </c>
    </row>
    <row r="236" spans="1:2" x14ac:dyDescent="0.2">
      <c r="A236">
        <v>293</v>
      </c>
      <c r="B236" t="s">
        <v>295</v>
      </c>
    </row>
    <row r="237" spans="1:2" x14ac:dyDescent="0.2">
      <c r="A237">
        <v>292</v>
      </c>
      <c r="B237" t="s">
        <v>294</v>
      </c>
    </row>
    <row r="238" spans="1:2" x14ac:dyDescent="0.2">
      <c r="A238">
        <v>291</v>
      </c>
      <c r="B238" t="s">
        <v>293</v>
      </c>
    </row>
    <row r="239" spans="1:2" x14ac:dyDescent="0.2">
      <c r="A239">
        <v>290</v>
      </c>
      <c r="B239" t="s">
        <v>292</v>
      </c>
    </row>
    <row r="240" spans="1:2" x14ac:dyDescent="0.2">
      <c r="A240">
        <v>289</v>
      </c>
      <c r="B240" t="s">
        <v>291</v>
      </c>
    </row>
    <row r="241" spans="1:2" x14ac:dyDescent="0.2">
      <c r="A241">
        <v>288</v>
      </c>
      <c r="B241" t="s">
        <v>290</v>
      </c>
    </row>
    <row r="242" spans="1:2" x14ac:dyDescent="0.2">
      <c r="A242">
        <v>287</v>
      </c>
      <c r="B242" t="s">
        <v>289</v>
      </c>
    </row>
    <row r="243" spans="1:2" x14ac:dyDescent="0.2">
      <c r="A243">
        <v>286</v>
      </c>
      <c r="B243" t="s">
        <v>288</v>
      </c>
    </row>
    <row r="244" spans="1:2" x14ac:dyDescent="0.2">
      <c r="A244">
        <v>285</v>
      </c>
      <c r="B244" t="s">
        <v>287</v>
      </c>
    </row>
    <row r="245" spans="1:2" x14ac:dyDescent="0.2">
      <c r="A245">
        <v>284</v>
      </c>
      <c r="B245" t="s">
        <v>286</v>
      </c>
    </row>
    <row r="246" spans="1:2" x14ac:dyDescent="0.2">
      <c r="A246">
        <v>283</v>
      </c>
      <c r="B246" t="s">
        <v>285</v>
      </c>
    </row>
    <row r="247" spans="1:2" x14ac:dyDescent="0.2">
      <c r="A247">
        <v>282</v>
      </c>
      <c r="B247" t="s">
        <v>284</v>
      </c>
    </row>
    <row r="248" spans="1:2" x14ac:dyDescent="0.2">
      <c r="A248">
        <v>281</v>
      </c>
      <c r="B248" t="s">
        <v>283</v>
      </c>
    </row>
    <row r="249" spans="1:2" x14ac:dyDescent="0.2">
      <c r="A249">
        <v>280</v>
      </c>
      <c r="B249" t="s">
        <v>282</v>
      </c>
    </row>
    <row r="250" spans="1:2" x14ac:dyDescent="0.2">
      <c r="A250">
        <v>279</v>
      </c>
      <c r="B250" t="s">
        <v>281</v>
      </c>
    </row>
    <row r="251" spans="1:2" x14ac:dyDescent="0.2">
      <c r="A251">
        <v>278</v>
      </c>
      <c r="B251" t="s">
        <v>280</v>
      </c>
    </row>
    <row r="252" spans="1:2" x14ac:dyDescent="0.2">
      <c r="A252">
        <v>277</v>
      </c>
      <c r="B252" t="s">
        <v>279</v>
      </c>
    </row>
    <row r="253" spans="1:2" x14ac:dyDescent="0.2">
      <c r="A253">
        <v>276</v>
      </c>
      <c r="B253" t="s">
        <v>278</v>
      </c>
    </row>
    <row r="254" spans="1:2" x14ac:dyDescent="0.2">
      <c r="A254">
        <v>275</v>
      </c>
      <c r="B254" t="s">
        <v>277</v>
      </c>
    </row>
    <row r="255" spans="1:2" x14ac:dyDescent="0.2">
      <c r="A255">
        <v>274</v>
      </c>
      <c r="B255" t="s">
        <v>276</v>
      </c>
    </row>
    <row r="256" spans="1:2" x14ac:dyDescent="0.2">
      <c r="A256">
        <v>273</v>
      </c>
      <c r="B256" t="s">
        <v>275</v>
      </c>
    </row>
    <row r="257" spans="1:2" x14ac:dyDescent="0.2">
      <c r="A257">
        <v>272</v>
      </c>
      <c r="B257" t="s">
        <v>274</v>
      </c>
    </row>
    <row r="258" spans="1:2" x14ac:dyDescent="0.2">
      <c r="A258">
        <v>271</v>
      </c>
      <c r="B258" t="s">
        <v>273</v>
      </c>
    </row>
    <row r="259" spans="1:2" x14ac:dyDescent="0.2">
      <c r="A259">
        <v>270</v>
      </c>
      <c r="B259" t="s">
        <v>272</v>
      </c>
    </row>
    <row r="260" spans="1:2" x14ac:dyDescent="0.2">
      <c r="A260">
        <v>269</v>
      </c>
      <c r="B260" t="s">
        <v>271</v>
      </c>
    </row>
    <row r="261" spans="1:2" x14ac:dyDescent="0.2">
      <c r="A261">
        <v>268</v>
      </c>
      <c r="B261" t="s">
        <v>270</v>
      </c>
    </row>
    <row r="262" spans="1:2" x14ac:dyDescent="0.2">
      <c r="A262">
        <v>267</v>
      </c>
      <c r="B262" t="s">
        <v>269</v>
      </c>
    </row>
    <row r="263" spans="1:2" x14ac:dyDescent="0.2">
      <c r="A263">
        <v>266</v>
      </c>
      <c r="B263" t="s">
        <v>268</v>
      </c>
    </row>
    <row r="264" spans="1:2" x14ac:dyDescent="0.2">
      <c r="A264">
        <v>265</v>
      </c>
      <c r="B264" t="s">
        <v>267</v>
      </c>
    </row>
    <row r="265" spans="1:2" x14ac:dyDescent="0.2">
      <c r="A265">
        <v>264</v>
      </c>
      <c r="B265" t="s">
        <v>266</v>
      </c>
    </row>
    <row r="266" spans="1:2" x14ac:dyDescent="0.2">
      <c r="A266">
        <v>263</v>
      </c>
      <c r="B266" t="s">
        <v>265</v>
      </c>
    </row>
    <row r="267" spans="1:2" x14ac:dyDescent="0.2">
      <c r="A267">
        <v>262</v>
      </c>
      <c r="B267" t="s">
        <v>264</v>
      </c>
    </row>
    <row r="268" spans="1:2" x14ac:dyDescent="0.2">
      <c r="A268">
        <v>261</v>
      </c>
      <c r="B268" t="s">
        <v>263</v>
      </c>
    </row>
    <row r="269" spans="1:2" x14ac:dyDescent="0.2">
      <c r="A269">
        <v>260</v>
      </c>
      <c r="B269" t="s">
        <v>262</v>
      </c>
    </row>
    <row r="270" spans="1:2" x14ac:dyDescent="0.2">
      <c r="A270">
        <v>259</v>
      </c>
      <c r="B270" t="s">
        <v>261</v>
      </c>
    </row>
    <row r="271" spans="1:2" x14ac:dyDescent="0.2">
      <c r="A271">
        <v>258</v>
      </c>
      <c r="B271" t="s">
        <v>260</v>
      </c>
    </row>
    <row r="272" spans="1:2" x14ac:dyDescent="0.2">
      <c r="A272">
        <v>257</v>
      </c>
      <c r="B272" t="s">
        <v>259</v>
      </c>
    </row>
    <row r="273" spans="1:2" x14ac:dyDescent="0.2">
      <c r="A273">
        <v>256</v>
      </c>
      <c r="B273" t="s">
        <v>258</v>
      </c>
    </row>
    <row r="274" spans="1:2" x14ac:dyDescent="0.2">
      <c r="A274">
        <v>255</v>
      </c>
      <c r="B274" t="s">
        <v>257</v>
      </c>
    </row>
    <row r="275" spans="1:2" x14ac:dyDescent="0.2">
      <c r="A275">
        <v>254</v>
      </c>
      <c r="B275" t="s">
        <v>256</v>
      </c>
    </row>
    <row r="276" spans="1:2" x14ac:dyDescent="0.2">
      <c r="A276">
        <v>253</v>
      </c>
      <c r="B276" t="s">
        <v>255</v>
      </c>
    </row>
    <row r="277" spans="1:2" x14ac:dyDescent="0.2">
      <c r="A277">
        <v>252</v>
      </c>
      <c r="B277" t="s">
        <v>254</v>
      </c>
    </row>
    <row r="278" spans="1:2" x14ac:dyDescent="0.2">
      <c r="A278">
        <v>251</v>
      </c>
      <c r="B278" t="s">
        <v>253</v>
      </c>
    </row>
    <row r="279" spans="1:2" x14ac:dyDescent="0.2">
      <c r="A279">
        <v>250</v>
      </c>
      <c r="B279" t="s">
        <v>252</v>
      </c>
    </row>
    <row r="280" spans="1:2" x14ac:dyDescent="0.2">
      <c r="A280">
        <v>249</v>
      </c>
      <c r="B280" t="s">
        <v>251</v>
      </c>
    </row>
    <row r="281" spans="1:2" x14ac:dyDescent="0.2">
      <c r="A281">
        <v>248</v>
      </c>
      <c r="B281" t="s">
        <v>250</v>
      </c>
    </row>
    <row r="282" spans="1:2" x14ac:dyDescent="0.2">
      <c r="A282">
        <v>247</v>
      </c>
      <c r="B282" t="s">
        <v>249</v>
      </c>
    </row>
    <row r="283" spans="1:2" x14ac:dyDescent="0.2">
      <c r="A283">
        <v>246</v>
      </c>
      <c r="B283" t="s">
        <v>248</v>
      </c>
    </row>
    <row r="284" spans="1:2" x14ac:dyDescent="0.2">
      <c r="A284">
        <v>245</v>
      </c>
      <c r="B284" t="s">
        <v>247</v>
      </c>
    </row>
    <row r="285" spans="1:2" x14ac:dyDescent="0.2">
      <c r="A285">
        <v>244</v>
      </c>
      <c r="B285" t="s">
        <v>246</v>
      </c>
    </row>
    <row r="286" spans="1:2" x14ac:dyDescent="0.2">
      <c r="A286">
        <v>243</v>
      </c>
      <c r="B286" t="s">
        <v>245</v>
      </c>
    </row>
    <row r="287" spans="1:2" x14ac:dyDescent="0.2">
      <c r="A287">
        <v>242</v>
      </c>
      <c r="B287" t="s">
        <v>244</v>
      </c>
    </row>
    <row r="288" spans="1:2" x14ac:dyDescent="0.2">
      <c r="A288">
        <v>241</v>
      </c>
      <c r="B288" t="s">
        <v>243</v>
      </c>
    </row>
    <row r="289" spans="1:2" x14ac:dyDescent="0.2">
      <c r="A289">
        <v>240</v>
      </c>
      <c r="B289" t="s">
        <v>242</v>
      </c>
    </row>
    <row r="290" spans="1:2" x14ac:dyDescent="0.2">
      <c r="A290">
        <v>239</v>
      </c>
      <c r="B290" t="s">
        <v>241</v>
      </c>
    </row>
    <row r="291" spans="1:2" x14ac:dyDescent="0.2">
      <c r="A291">
        <v>238</v>
      </c>
      <c r="B291" t="s">
        <v>240</v>
      </c>
    </row>
    <row r="292" spans="1:2" x14ac:dyDescent="0.2">
      <c r="A292">
        <v>237</v>
      </c>
      <c r="B292" t="s">
        <v>239</v>
      </c>
    </row>
    <row r="293" spans="1:2" x14ac:dyDescent="0.2">
      <c r="A293">
        <v>236</v>
      </c>
      <c r="B293" t="s">
        <v>238</v>
      </c>
    </row>
    <row r="294" spans="1:2" x14ac:dyDescent="0.2">
      <c r="A294">
        <v>235</v>
      </c>
      <c r="B294" t="s">
        <v>237</v>
      </c>
    </row>
    <row r="295" spans="1:2" x14ac:dyDescent="0.2">
      <c r="A295">
        <v>234</v>
      </c>
      <c r="B295" t="s">
        <v>236</v>
      </c>
    </row>
    <row r="296" spans="1:2" x14ac:dyDescent="0.2">
      <c r="A296">
        <v>233</v>
      </c>
      <c r="B296" t="s">
        <v>235</v>
      </c>
    </row>
    <row r="297" spans="1:2" x14ac:dyDescent="0.2">
      <c r="A297">
        <v>232</v>
      </c>
      <c r="B297" t="s">
        <v>234</v>
      </c>
    </row>
    <row r="298" spans="1:2" x14ac:dyDescent="0.2">
      <c r="A298">
        <v>231</v>
      </c>
      <c r="B298" t="s">
        <v>233</v>
      </c>
    </row>
    <row r="299" spans="1:2" x14ac:dyDescent="0.2">
      <c r="A299">
        <v>230</v>
      </c>
      <c r="B299" t="s">
        <v>232</v>
      </c>
    </row>
    <row r="300" spans="1:2" x14ac:dyDescent="0.2">
      <c r="A300">
        <v>229</v>
      </c>
      <c r="B300" t="s">
        <v>231</v>
      </c>
    </row>
    <row r="301" spans="1:2" x14ac:dyDescent="0.2">
      <c r="A301">
        <v>228</v>
      </c>
      <c r="B301" t="s">
        <v>230</v>
      </c>
    </row>
    <row r="302" spans="1:2" x14ac:dyDescent="0.2">
      <c r="A302">
        <v>227</v>
      </c>
      <c r="B302" t="s">
        <v>229</v>
      </c>
    </row>
    <row r="303" spans="1:2" x14ac:dyDescent="0.2">
      <c r="A303">
        <v>226</v>
      </c>
      <c r="B303" t="s">
        <v>228</v>
      </c>
    </row>
    <row r="304" spans="1:2" x14ac:dyDescent="0.2">
      <c r="A304">
        <v>225</v>
      </c>
      <c r="B304" t="s">
        <v>227</v>
      </c>
    </row>
    <row r="305" spans="1:2" x14ac:dyDescent="0.2">
      <c r="A305">
        <v>224</v>
      </c>
      <c r="B305" t="s">
        <v>226</v>
      </c>
    </row>
    <row r="306" spans="1:2" x14ac:dyDescent="0.2">
      <c r="A306">
        <v>223</v>
      </c>
      <c r="B306" t="s">
        <v>225</v>
      </c>
    </row>
    <row r="307" spans="1:2" x14ac:dyDescent="0.2">
      <c r="A307">
        <v>222</v>
      </c>
      <c r="B307" t="s">
        <v>224</v>
      </c>
    </row>
    <row r="308" spans="1:2" x14ac:dyDescent="0.2">
      <c r="A308">
        <v>221</v>
      </c>
      <c r="B308" t="s">
        <v>223</v>
      </c>
    </row>
    <row r="309" spans="1:2" x14ac:dyDescent="0.2">
      <c r="A309">
        <v>220</v>
      </c>
      <c r="B309" t="s">
        <v>222</v>
      </c>
    </row>
    <row r="310" spans="1:2" x14ac:dyDescent="0.2">
      <c r="A310">
        <v>219</v>
      </c>
      <c r="B310" t="s">
        <v>221</v>
      </c>
    </row>
    <row r="311" spans="1:2" x14ac:dyDescent="0.2">
      <c r="A311">
        <v>218</v>
      </c>
      <c r="B311" t="s">
        <v>220</v>
      </c>
    </row>
    <row r="312" spans="1:2" x14ac:dyDescent="0.2">
      <c r="A312">
        <v>217</v>
      </c>
      <c r="B312" t="s">
        <v>219</v>
      </c>
    </row>
    <row r="313" spans="1:2" x14ac:dyDescent="0.2">
      <c r="A313">
        <v>216</v>
      </c>
      <c r="B313" t="s">
        <v>218</v>
      </c>
    </row>
    <row r="314" spans="1:2" x14ac:dyDescent="0.2">
      <c r="A314">
        <v>215</v>
      </c>
      <c r="B314" t="s">
        <v>217</v>
      </c>
    </row>
    <row r="315" spans="1:2" x14ac:dyDescent="0.2">
      <c r="A315">
        <v>214</v>
      </c>
      <c r="B315" t="s">
        <v>216</v>
      </c>
    </row>
    <row r="316" spans="1:2" x14ac:dyDescent="0.2">
      <c r="A316">
        <v>213</v>
      </c>
      <c r="B316" t="s">
        <v>215</v>
      </c>
    </row>
    <row r="317" spans="1:2" x14ac:dyDescent="0.2">
      <c r="A317">
        <v>212</v>
      </c>
      <c r="B317" t="s">
        <v>214</v>
      </c>
    </row>
    <row r="318" spans="1:2" x14ac:dyDescent="0.2">
      <c r="A318">
        <v>211</v>
      </c>
      <c r="B318" t="s">
        <v>213</v>
      </c>
    </row>
    <row r="319" spans="1:2" x14ac:dyDescent="0.2">
      <c r="A319">
        <v>210</v>
      </c>
      <c r="B319" t="s">
        <v>212</v>
      </c>
    </row>
    <row r="320" spans="1:2" x14ac:dyDescent="0.2">
      <c r="A320">
        <v>209</v>
      </c>
      <c r="B320" t="s">
        <v>211</v>
      </c>
    </row>
    <row r="321" spans="1:2" x14ac:dyDescent="0.2">
      <c r="A321">
        <v>208</v>
      </c>
      <c r="B321" t="s">
        <v>210</v>
      </c>
    </row>
    <row r="322" spans="1:2" x14ac:dyDescent="0.2">
      <c r="A322">
        <v>207</v>
      </c>
      <c r="B322" t="s">
        <v>209</v>
      </c>
    </row>
    <row r="323" spans="1:2" x14ac:dyDescent="0.2">
      <c r="A323">
        <v>206</v>
      </c>
      <c r="B323" t="s">
        <v>208</v>
      </c>
    </row>
    <row r="324" spans="1:2" x14ac:dyDescent="0.2">
      <c r="A324">
        <v>205</v>
      </c>
      <c r="B324" t="s">
        <v>207</v>
      </c>
    </row>
    <row r="325" spans="1:2" x14ac:dyDescent="0.2">
      <c r="A325">
        <v>204</v>
      </c>
      <c r="B325" t="s">
        <v>206</v>
      </c>
    </row>
    <row r="326" spans="1:2" x14ac:dyDescent="0.2">
      <c r="A326">
        <v>203</v>
      </c>
      <c r="B326" t="s">
        <v>205</v>
      </c>
    </row>
    <row r="327" spans="1:2" x14ac:dyDescent="0.2">
      <c r="A327">
        <v>202</v>
      </c>
      <c r="B327" t="s">
        <v>204</v>
      </c>
    </row>
    <row r="328" spans="1:2" x14ac:dyDescent="0.2">
      <c r="A328">
        <v>201</v>
      </c>
      <c r="B328" t="s">
        <v>203</v>
      </c>
    </row>
    <row r="329" spans="1:2" x14ac:dyDescent="0.2">
      <c r="A329">
        <v>200</v>
      </c>
      <c r="B329" t="s">
        <v>202</v>
      </c>
    </row>
    <row r="330" spans="1:2" x14ac:dyDescent="0.2">
      <c r="A330">
        <v>199</v>
      </c>
      <c r="B330" t="s">
        <v>201</v>
      </c>
    </row>
    <row r="331" spans="1:2" x14ac:dyDescent="0.2">
      <c r="A331">
        <v>198</v>
      </c>
      <c r="B331" t="s">
        <v>200</v>
      </c>
    </row>
    <row r="332" spans="1:2" x14ac:dyDescent="0.2">
      <c r="A332">
        <v>197</v>
      </c>
      <c r="B332" t="s">
        <v>199</v>
      </c>
    </row>
    <row r="333" spans="1:2" x14ac:dyDescent="0.2">
      <c r="A333">
        <v>196</v>
      </c>
      <c r="B333" t="s">
        <v>198</v>
      </c>
    </row>
    <row r="334" spans="1:2" x14ac:dyDescent="0.2">
      <c r="A334">
        <v>195</v>
      </c>
      <c r="B334" t="s">
        <v>197</v>
      </c>
    </row>
    <row r="335" spans="1:2" x14ac:dyDescent="0.2">
      <c r="A335">
        <v>194</v>
      </c>
      <c r="B335" t="s">
        <v>196</v>
      </c>
    </row>
    <row r="336" spans="1:2" x14ac:dyDescent="0.2">
      <c r="A336">
        <v>193</v>
      </c>
      <c r="B336" t="s">
        <v>195</v>
      </c>
    </row>
    <row r="337" spans="1:2" x14ac:dyDescent="0.2">
      <c r="A337">
        <v>192</v>
      </c>
      <c r="B337" t="s">
        <v>194</v>
      </c>
    </row>
    <row r="338" spans="1:2" x14ac:dyDescent="0.2">
      <c r="A338">
        <v>191</v>
      </c>
      <c r="B338" t="s">
        <v>193</v>
      </c>
    </row>
    <row r="339" spans="1:2" x14ac:dyDescent="0.2">
      <c r="A339">
        <v>190</v>
      </c>
      <c r="B339" t="s">
        <v>192</v>
      </c>
    </row>
    <row r="340" spans="1:2" x14ac:dyDescent="0.2">
      <c r="A340">
        <v>189</v>
      </c>
      <c r="B340" t="s">
        <v>191</v>
      </c>
    </row>
    <row r="341" spans="1:2" x14ac:dyDescent="0.2">
      <c r="A341">
        <v>188</v>
      </c>
      <c r="B341" t="s">
        <v>190</v>
      </c>
    </row>
    <row r="342" spans="1:2" x14ac:dyDescent="0.2">
      <c r="A342">
        <v>187</v>
      </c>
      <c r="B342" t="s">
        <v>189</v>
      </c>
    </row>
    <row r="343" spans="1:2" x14ac:dyDescent="0.2">
      <c r="A343">
        <v>186</v>
      </c>
      <c r="B343" t="s">
        <v>188</v>
      </c>
    </row>
    <row r="344" spans="1:2" x14ac:dyDescent="0.2">
      <c r="A344">
        <v>185</v>
      </c>
      <c r="B344" t="s">
        <v>187</v>
      </c>
    </row>
    <row r="345" spans="1:2" x14ac:dyDescent="0.2">
      <c r="A345">
        <v>184</v>
      </c>
      <c r="B345" t="s">
        <v>186</v>
      </c>
    </row>
    <row r="346" spans="1:2" x14ac:dyDescent="0.2">
      <c r="A346">
        <v>183</v>
      </c>
      <c r="B346" t="s">
        <v>185</v>
      </c>
    </row>
    <row r="347" spans="1:2" x14ac:dyDescent="0.2">
      <c r="A347">
        <v>182</v>
      </c>
      <c r="B347" t="s">
        <v>184</v>
      </c>
    </row>
    <row r="348" spans="1:2" x14ac:dyDescent="0.2">
      <c r="A348">
        <v>181</v>
      </c>
      <c r="B348" t="s">
        <v>183</v>
      </c>
    </row>
    <row r="349" spans="1:2" x14ac:dyDescent="0.2">
      <c r="A349">
        <v>180</v>
      </c>
      <c r="B349" t="s">
        <v>182</v>
      </c>
    </row>
    <row r="350" spans="1:2" x14ac:dyDescent="0.2">
      <c r="A350">
        <v>179</v>
      </c>
      <c r="B350" t="s">
        <v>181</v>
      </c>
    </row>
    <row r="351" spans="1:2" x14ac:dyDescent="0.2">
      <c r="A351">
        <v>178</v>
      </c>
      <c r="B351" t="s">
        <v>180</v>
      </c>
    </row>
    <row r="352" spans="1:2" x14ac:dyDescent="0.2">
      <c r="A352">
        <v>177</v>
      </c>
      <c r="B352" t="s">
        <v>179</v>
      </c>
    </row>
    <row r="353" spans="1:2" x14ac:dyDescent="0.2">
      <c r="A353">
        <v>176</v>
      </c>
      <c r="B353" t="s">
        <v>178</v>
      </c>
    </row>
    <row r="354" spans="1:2" x14ac:dyDescent="0.2">
      <c r="A354">
        <v>175</v>
      </c>
      <c r="B354" t="s">
        <v>177</v>
      </c>
    </row>
    <row r="355" spans="1:2" x14ac:dyDescent="0.2">
      <c r="A355">
        <v>174</v>
      </c>
      <c r="B355" t="s">
        <v>176</v>
      </c>
    </row>
    <row r="356" spans="1:2" x14ac:dyDescent="0.2">
      <c r="A356">
        <v>173</v>
      </c>
      <c r="B356" t="s">
        <v>175</v>
      </c>
    </row>
    <row r="357" spans="1:2" x14ac:dyDescent="0.2">
      <c r="A357">
        <v>172</v>
      </c>
      <c r="B357" t="s">
        <v>174</v>
      </c>
    </row>
    <row r="358" spans="1:2" x14ac:dyDescent="0.2">
      <c r="A358">
        <v>171</v>
      </c>
      <c r="B358" t="s">
        <v>173</v>
      </c>
    </row>
    <row r="359" spans="1:2" x14ac:dyDescent="0.2">
      <c r="A359">
        <v>170</v>
      </c>
      <c r="B359" t="s">
        <v>172</v>
      </c>
    </row>
    <row r="360" spans="1:2" x14ac:dyDescent="0.2">
      <c r="A360">
        <v>169</v>
      </c>
      <c r="B360" t="s">
        <v>171</v>
      </c>
    </row>
    <row r="361" spans="1:2" x14ac:dyDescent="0.2">
      <c r="A361">
        <v>168</v>
      </c>
      <c r="B361" t="s">
        <v>170</v>
      </c>
    </row>
    <row r="362" spans="1:2" x14ac:dyDescent="0.2">
      <c r="A362">
        <v>167</v>
      </c>
      <c r="B362" t="s">
        <v>169</v>
      </c>
    </row>
    <row r="363" spans="1:2" x14ac:dyDescent="0.2">
      <c r="A363">
        <v>166</v>
      </c>
      <c r="B363" t="s">
        <v>168</v>
      </c>
    </row>
    <row r="364" spans="1:2" x14ac:dyDescent="0.2">
      <c r="A364">
        <v>165</v>
      </c>
      <c r="B364" t="s">
        <v>167</v>
      </c>
    </row>
    <row r="365" spans="1:2" x14ac:dyDescent="0.2">
      <c r="A365">
        <v>164</v>
      </c>
      <c r="B365" t="s">
        <v>166</v>
      </c>
    </row>
    <row r="366" spans="1:2" x14ac:dyDescent="0.2">
      <c r="A366">
        <v>163</v>
      </c>
      <c r="B366" t="s">
        <v>165</v>
      </c>
    </row>
    <row r="367" spans="1:2" x14ac:dyDescent="0.2">
      <c r="A367">
        <v>162</v>
      </c>
      <c r="B367" t="s">
        <v>164</v>
      </c>
    </row>
    <row r="368" spans="1:2" x14ac:dyDescent="0.2">
      <c r="A368">
        <v>161</v>
      </c>
      <c r="B368" t="s">
        <v>163</v>
      </c>
    </row>
    <row r="369" spans="1:2" x14ac:dyDescent="0.2">
      <c r="A369">
        <v>160</v>
      </c>
      <c r="B369" t="s">
        <v>162</v>
      </c>
    </row>
    <row r="370" spans="1:2" x14ac:dyDescent="0.2">
      <c r="A370">
        <v>159</v>
      </c>
      <c r="B370" t="s">
        <v>161</v>
      </c>
    </row>
    <row r="371" spans="1:2" x14ac:dyDescent="0.2">
      <c r="A371">
        <v>158</v>
      </c>
      <c r="B371" t="s">
        <v>160</v>
      </c>
    </row>
    <row r="372" spans="1:2" x14ac:dyDescent="0.2">
      <c r="A372">
        <v>157</v>
      </c>
      <c r="B372" t="s">
        <v>159</v>
      </c>
    </row>
    <row r="373" spans="1:2" x14ac:dyDescent="0.2">
      <c r="A373">
        <v>156</v>
      </c>
      <c r="B373" t="s">
        <v>158</v>
      </c>
    </row>
    <row r="374" spans="1:2" x14ac:dyDescent="0.2">
      <c r="A374">
        <v>155</v>
      </c>
      <c r="B374" t="s">
        <v>157</v>
      </c>
    </row>
    <row r="375" spans="1:2" x14ac:dyDescent="0.2">
      <c r="A375">
        <v>154</v>
      </c>
      <c r="B375" t="s">
        <v>156</v>
      </c>
    </row>
    <row r="376" spans="1:2" x14ac:dyDescent="0.2">
      <c r="A376">
        <v>153</v>
      </c>
      <c r="B376" t="s">
        <v>155</v>
      </c>
    </row>
    <row r="377" spans="1:2" x14ac:dyDescent="0.2">
      <c r="A377">
        <v>152</v>
      </c>
      <c r="B377" t="s">
        <v>154</v>
      </c>
    </row>
    <row r="378" spans="1:2" x14ac:dyDescent="0.2">
      <c r="A378">
        <v>151</v>
      </c>
      <c r="B378" t="s">
        <v>153</v>
      </c>
    </row>
    <row r="379" spans="1:2" x14ac:dyDescent="0.2">
      <c r="A379">
        <v>150</v>
      </c>
      <c r="B379" t="s">
        <v>152</v>
      </c>
    </row>
    <row r="380" spans="1:2" x14ac:dyDescent="0.2">
      <c r="A380">
        <v>149</v>
      </c>
      <c r="B380" t="s">
        <v>151</v>
      </c>
    </row>
    <row r="381" spans="1:2" x14ac:dyDescent="0.2">
      <c r="A381">
        <v>148</v>
      </c>
      <c r="B381" t="s">
        <v>150</v>
      </c>
    </row>
    <row r="382" spans="1:2" x14ac:dyDescent="0.2">
      <c r="A382">
        <v>147</v>
      </c>
      <c r="B382" t="s">
        <v>149</v>
      </c>
    </row>
    <row r="383" spans="1:2" x14ac:dyDescent="0.2">
      <c r="A383">
        <v>146</v>
      </c>
      <c r="B383" t="s">
        <v>148</v>
      </c>
    </row>
    <row r="384" spans="1:2" x14ac:dyDescent="0.2">
      <c r="A384">
        <v>145</v>
      </c>
      <c r="B384" t="s">
        <v>147</v>
      </c>
    </row>
    <row r="385" spans="1:2" x14ac:dyDescent="0.2">
      <c r="A385">
        <v>144</v>
      </c>
      <c r="B385" t="s">
        <v>146</v>
      </c>
    </row>
    <row r="386" spans="1:2" x14ac:dyDescent="0.2">
      <c r="A386">
        <v>143</v>
      </c>
      <c r="B386" t="s">
        <v>145</v>
      </c>
    </row>
    <row r="387" spans="1:2" x14ac:dyDescent="0.2">
      <c r="A387">
        <v>142</v>
      </c>
      <c r="B387" t="s">
        <v>144</v>
      </c>
    </row>
    <row r="388" spans="1:2" x14ac:dyDescent="0.2">
      <c r="A388">
        <v>141</v>
      </c>
      <c r="B388" t="s">
        <v>143</v>
      </c>
    </row>
    <row r="389" spans="1:2" x14ac:dyDescent="0.2">
      <c r="A389">
        <v>140</v>
      </c>
      <c r="B389" t="s">
        <v>142</v>
      </c>
    </row>
    <row r="390" spans="1:2" x14ac:dyDescent="0.2">
      <c r="A390">
        <v>139</v>
      </c>
      <c r="B390" t="s">
        <v>141</v>
      </c>
    </row>
    <row r="391" spans="1:2" x14ac:dyDescent="0.2">
      <c r="A391">
        <v>138</v>
      </c>
      <c r="B391" t="s">
        <v>140</v>
      </c>
    </row>
    <row r="392" spans="1:2" x14ac:dyDescent="0.2">
      <c r="A392">
        <v>137</v>
      </c>
      <c r="B392" t="s">
        <v>139</v>
      </c>
    </row>
    <row r="393" spans="1:2" x14ac:dyDescent="0.2">
      <c r="A393">
        <v>136</v>
      </c>
      <c r="B393" t="s">
        <v>138</v>
      </c>
    </row>
    <row r="394" spans="1:2" x14ac:dyDescent="0.2">
      <c r="A394">
        <v>135</v>
      </c>
      <c r="B394" t="s">
        <v>137</v>
      </c>
    </row>
    <row r="395" spans="1:2" x14ac:dyDescent="0.2">
      <c r="A395">
        <v>134</v>
      </c>
      <c r="B395" t="s">
        <v>136</v>
      </c>
    </row>
    <row r="396" spans="1:2" x14ac:dyDescent="0.2">
      <c r="A396">
        <v>133</v>
      </c>
      <c r="B396" t="s">
        <v>135</v>
      </c>
    </row>
    <row r="397" spans="1:2" x14ac:dyDescent="0.2">
      <c r="A397">
        <v>132</v>
      </c>
      <c r="B397" t="s">
        <v>134</v>
      </c>
    </row>
    <row r="398" spans="1:2" x14ac:dyDescent="0.2">
      <c r="A398">
        <v>131</v>
      </c>
      <c r="B398" t="s">
        <v>133</v>
      </c>
    </row>
    <row r="399" spans="1:2" x14ac:dyDescent="0.2">
      <c r="A399">
        <v>130</v>
      </c>
      <c r="B399" t="s">
        <v>132</v>
      </c>
    </row>
    <row r="400" spans="1:2" x14ac:dyDescent="0.2">
      <c r="A400">
        <v>129</v>
      </c>
      <c r="B400" t="s">
        <v>131</v>
      </c>
    </row>
    <row r="401" spans="1:2" x14ac:dyDescent="0.2">
      <c r="A401">
        <v>128</v>
      </c>
      <c r="B401" t="s">
        <v>130</v>
      </c>
    </row>
    <row r="402" spans="1:2" x14ac:dyDescent="0.2">
      <c r="A402">
        <v>127</v>
      </c>
      <c r="B402" t="s">
        <v>129</v>
      </c>
    </row>
    <row r="403" spans="1:2" x14ac:dyDescent="0.2">
      <c r="A403">
        <v>126</v>
      </c>
      <c r="B403" t="s">
        <v>128</v>
      </c>
    </row>
    <row r="404" spans="1:2" x14ac:dyDescent="0.2">
      <c r="A404">
        <v>125</v>
      </c>
      <c r="B404" t="s">
        <v>127</v>
      </c>
    </row>
    <row r="405" spans="1:2" x14ac:dyDescent="0.2">
      <c r="A405">
        <v>124</v>
      </c>
      <c r="B405" t="s">
        <v>126</v>
      </c>
    </row>
    <row r="406" spans="1:2" x14ac:dyDescent="0.2">
      <c r="A406">
        <v>123</v>
      </c>
      <c r="B406" t="s">
        <v>125</v>
      </c>
    </row>
    <row r="407" spans="1:2" x14ac:dyDescent="0.2">
      <c r="A407">
        <v>122</v>
      </c>
      <c r="B407" t="s">
        <v>124</v>
      </c>
    </row>
    <row r="408" spans="1:2" x14ac:dyDescent="0.2">
      <c r="A408">
        <v>121</v>
      </c>
      <c r="B408" t="s">
        <v>123</v>
      </c>
    </row>
    <row r="409" spans="1:2" x14ac:dyDescent="0.2">
      <c r="A409">
        <v>120</v>
      </c>
      <c r="B409" t="s">
        <v>122</v>
      </c>
    </row>
    <row r="410" spans="1:2" x14ac:dyDescent="0.2">
      <c r="A410">
        <v>119</v>
      </c>
      <c r="B410" t="s">
        <v>121</v>
      </c>
    </row>
    <row r="411" spans="1:2" x14ac:dyDescent="0.2">
      <c r="A411">
        <v>118</v>
      </c>
      <c r="B411" t="s">
        <v>120</v>
      </c>
    </row>
    <row r="412" spans="1:2" x14ac:dyDescent="0.2">
      <c r="A412">
        <v>117</v>
      </c>
      <c r="B412" t="s">
        <v>119</v>
      </c>
    </row>
    <row r="413" spans="1:2" x14ac:dyDescent="0.2">
      <c r="A413">
        <v>116</v>
      </c>
      <c r="B413" t="s">
        <v>118</v>
      </c>
    </row>
    <row r="414" spans="1:2" x14ac:dyDescent="0.2">
      <c r="A414">
        <v>115</v>
      </c>
      <c r="B414" t="s">
        <v>117</v>
      </c>
    </row>
    <row r="415" spans="1:2" x14ac:dyDescent="0.2">
      <c r="A415">
        <v>114</v>
      </c>
      <c r="B415" t="s">
        <v>116</v>
      </c>
    </row>
    <row r="416" spans="1:2" x14ac:dyDescent="0.2">
      <c r="A416">
        <v>113</v>
      </c>
      <c r="B416" t="s">
        <v>115</v>
      </c>
    </row>
    <row r="417" spans="1:2" x14ac:dyDescent="0.2">
      <c r="A417">
        <v>112</v>
      </c>
      <c r="B417" t="s">
        <v>114</v>
      </c>
    </row>
    <row r="418" spans="1:2" x14ac:dyDescent="0.2">
      <c r="A418">
        <v>111</v>
      </c>
      <c r="B418" t="s">
        <v>113</v>
      </c>
    </row>
    <row r="419" spans="1:2" x14ac:dyDescent="0.2">
      <c r="A419">
        <v>110</v>
      </c>
      <c r="B419" t="s">
        <v>112</v>
      </c>
    </row>
    <row r="420" spans="1:2" x14ac:dyDescent="0.2">
      <c r="A420">
        <v>109</v>
      </c>
      <c r="B420" t="s">
        <v>111</v>
      </c>
    </row>
    <row r="421" spans="1:2" x14ac:dyDescent="0.2">
      <c r="A421">
        <v>108</v>
      </c>
      <c r="B421" t="s">
        <v>110</v>
      </c>
    </row>
    <row r="422" spans="1:2" x14ac:dyDescent="0.2">
      <c r="A422">
        <v>107</v>
      </c>
      <c r="B422" t="s">
        <v>109</v>
      </c>
    </row>
    <row r="423" spans="1:2" x14ac:dyDescent="0.2">
      <c r="A423">
        <v>106</v>
      </c>
      <c r="B423" t="s">
        <v>108</v>
      </c>
    </row>
    <row r="424" spans="1:2" x14ac:dyDescent="0.2">
      <c r="A424">
        <v>105</v>
      </c>
      <c r="B424" t="s">
        <v>107</v>
      </c>
    </row>
    <row r="425" spans="1:2" x14ac:dyDescent="0.2">
      <c r="A425">
        <v>104</v>
      </c>
      <c r="B425" t="s">
        <v>106</v>
      </c>
    </row>
    <row r="426" spans="1:2" x14ac:dyDescent="0.2">
      <c r="A426">
        <v>103</v>
      </c>
      <c r="B426" t="s">
        <v>105</v>
      </c>
    </row>
    <row r="427" spans="1:2" x14ac:dyDescent="0.2">
      <c r="A427">
        <v>102</v>
      </c>
      <c r="B427" t="s">
        <v>104</v>
      </c>
    </row>
    <row r="428" spans="1:2" x14ac:dyDescent="0.2">
      <c r="A428">
        <v>101</v>
      </c>
      <c r="B428" t="s">
        <v>103</v>
      </c>
    </row>
    <row r="429" spans="1:2" x14ac:dyDescent="0.2">
      <c r="A429">
        <v>100</v>
      </c>
      <c r="B429" t="s">
        <v>102</v>
      </c>
    </row>
    <row r="430" spans="1:2" x14ac:dyDescent="0.2">
      <c r="A430">
        <v>99</v>
      </c>
      <c r="B430" t="s">
        <v>101</v>
      </c>
    </row>
    <row r="431" spans="1:2" x14ac:dyDescent="0.2">
      <c r="A431">
        <v>98</v>
      </c>
      <c r="B431" t="s">
        <v>100</v>
      </c>
    </row>
    <row r="432" spans="1:2" x14ac:dyDescent="0.2">
      <c r="A432">
        <v>97</v>
      </c>
      <c r="B432" t="s">
        <v>99</v>
      </c>
    </row>
    <row r="433" spans="1:2" x14ac:dyDescent="0.2">
      <c r="A433">
        <v>96</v>
      </c>
      <c r="B433" t="s">
        <v>98</v>
      </c>
    </row>
    <row r="434" spans="1:2" x14ac:dyDescent="0.2">
      <c r="A434">
        <v>95</v>
      </c>
      <c r="B434" t="s">
        <v>97</v>
      </c>
    </row>
    <row r="435" spans="1:2" x14ac:dyDescent="0.2">
      <c r="A435">
        <v>94</v>
      </c>
      <c r="B435" t="s">
        <v>96</v>
      </c>
    </row>
    <row r="436" spans="1:2" x14ac:dyDescent="0.2">
      <c r="A436">
        <v>93</v>
      </c>
      <c r="B436" t="s">
        <v>95</v>
      </c>
    </row>
    <row r="437" spans="1:2" x14ac:dyDescent="0.2">
      <c r="A437">
        <v>92</v>
      </c>
      <c r="B437" t="s">
        <v>94</v>
      </c>
    </row>
    <row r="438" spans="1:2" x14ac:dyDescent="0.2">
      <c r="A438">
        <v>91</v>
      </c>
      <c r="B438" t="s">
        <v>93</v>
      </c>
    </row>
    <row r="439" spans="1:2" x14ac:dyDescent="0.2">
      <c r="A439">
        <v>90</v>
      </c>
      <c r="B439" t="s">
        <v>92</v>
      </c>
    </row>
    <row r="440" spans="1:2" x14ac:dyDescent="0.2">
      <c r="A440">
        <v>89</v>
      </c>
      <c r="B440" t="s">
        <v>91</v>
      </c>
    </row>
    <row r="441" spans="1:2" x14ac:dyDescent="0.2">
      <c r="A441">
        <v>88</v>
      </c>
      <c r="B441" t="s">
        <v>90</v>
      </c>
    </row>
    <row r="442" spans="1:2" x14ac:dyDescent="0.2">
      <c r="A442">
        <v>87</v>
      </c>
      <c r="B442" t="s">
        <v>89</v>
      </c>
    </row>
    <row r="443" spans="1:2" x14ac:dyDescent="0.2">
      <c r="A443">
        <v>86</v>
      </c>
      <c r="B443" t="s">
        <v>88</v>
      </c>
    </row>
    <row r="444" spans="1:2" x14ac:dyDescent="0.2">
      <c r="A444">
        <v>85</v>
      </c>
      <c r="B444" t="s">
        <v>87</v>
      </c>
    </row>
    <row r="445" spans="1:2" x14ac:dyDescent="0.2">
      <c r="A445">
        <v>84</v>
      </c>
      <c r="B445" t="s">
        <v>86</v>
      </c>
    </row>
    <row r="446" spans="1:2" x14ac:dyDescent="0.2">
      <c r="A446">
        <v>83</v>
      </c>
      <c r="B446" t="s">
        <v>85</v>
      </c>
    </row>
    <row r="447" spans="1:2" x14ac:dyDescent="0.2">
      <c r="A447">
        <v>82</v>
      </c>
      <c r="B447" t="s">
        <v>84</v>
      </c>
    </row>
    <row r="448" spans="1:2" x14ac:dyDescent="0.2">
      <c r="A448">
        <v>81</v>
      </c>
      <c r="B448" t="s">
        <v>83</v>
      </c>
    </row>
    <row r="449" spans="1:2" x14ac:dyDescent="0.2">
      <c r="A449">
        <v>80</v>
      </c>
      <c r="B449" t="s">
        <v>82</v>
      </c>
    </row>
    <row r="450" spans="1:2" x14ac:dyDescent="0.2">
      <c r="A450">
        <v>79</v>
      </c>
      <c r="B450" t="s">
        <v>81</v>
      </c>
    </row>
    <row r="451" spans="1:2" x14ac:dyDescent="0.2">
      <c r="A451">
        <v>78</v>
      </c>
      <c r="B451" t="s">
        <v>80</v>
      </c>
    </row>
    <row r="452" spans="1:2" x14ac:dyDescent="0.2">
      <c r="A452">
        <v>77</v>
      </c>
      <c r="B452" t="s">
        <v>79</v>
      </c>
    </row>
    <row r="453" spans="1:2" x14ac:dyDescent="0.2">
      <c r="A453">
        <v>76</v>
      </c>
      <c r="B453" t="s">
        <v>78</v>
      </c>
    </row>
    <row r="454" spans="1:2" x14ac:dyDescent="0.2">
      <c r="A454">
        <v>75</v>
      </c>
      <c r="B454" t="s">
        <v>77</v>
      </c>
    </row>
    <row r="455" spans="1:2" x14ac:dyDescent="0.2">
      <c r="A455">
        <v>74</v>
      </c>
      <c r="B455" t="s">
        <v>76</v>
      </c>
    </row>
    <row r="456" spans="1:2" x14ac:dyDescent="0.2">
      <c r="A456">
        <v>73</v>
      </c>
      <c r="B456" t="s">
        <v>75</v>
      </c>
    </row>
    <row r="457" spans="1:2" x14ac:dyDescent="0.2">
      <c r="A457">
        <v>72</v>
      </c>
      <c r="B457" t="s">
        <v>74</v>
      </c>
    </row>
    <row r="458" spans="1:2" x14ac:dyDescent="0.2">
      <c r="A458">
        <v>71</v>
      </c>
      <c r="B458" t="s">
        <v>73</v>
      </c>
    </row>
    <row r="459" spans="1:2" x14ac:dyDescent="0.2">
      <c r="A459">
        <v>70</v>
      </c>
      <c r="B459" t="s">
        <v>72</v>
      </c>
    </row>
    <row r="460" spans="1:2" x14ac:dyDescent="0.2">
      <c r="A460">
        <v>69</v>
      </c>
      <c r="B460" t="s">
        <v>71</v>
      </c>
    </row>
    <row r="461" spans="1:2" x14ac:dyDescent="0.2">
      <c r="A461">
        <v>68</v>
      </c>
      <c r="B461" t="s">
        <v>70</v>
      </c>
    </row>
    <row r="462" spans="1:2" x14ac:dyDescent="0.2">
      <c r="A462">
        <v>67</v>
      </c>
      <c r="B462" t="s">
        <v>69</v>
      </c>
    </row>
    <row r="463" spans="1:2" x14ac:dyDescent="0.2">
      <c r="A463">
        <v>66</v>
      </c>
      <c r="B463" t="s">
        <v>68</v>
      </c>
    </row>
    <row r="464" spans="1:2" x14ac:dyDescent="0.2">
      <c r="A464">
        <v>65</v>
      </c>
      <c r="B464" t="s">
        <v>67</v>
      </c>
    </row>
    <row r="465" spans="1:2" x14ac:dyDescent="0.2">
      <c r="A465">
        <v>64</v>
      </c>
      <c r="B465" t="s">
        <v>66</v>
      </c>
    </row>
    <row r="466" spans="1:2" x14ac:dyDescent="0.2">
      <c r="A466">
        <v>63</v>
      </c>
      <c r="B466" t="s">
        <v>65</v>
      </c>
    </row>
    <row r="467" spans="1:2" x14ac:dyDescent="0.2">
      <c r="A467">
        <v>62</v>
      </c>
      <c r="B467" t="s">
        <v>64</v>
      </c>
    </row>
    <row r="468" spans="1:2" x14ac:dyDescent="0.2">
      <c r="A468">
        <v>61</v>
      </c>
      <c r="B468" t="s">
        <v>63</v>
      </c>
    </row>
    <row r="469" spans="1:2" x14ac:dyDescent="0.2">
      <c r="A469">
        <v>60</v>
      </c>
      <c r="B469" t="s">
        <v>62</v>
      </c>
    </row>
    <row r="470" spans="1:2" x14ac:dyDescent="0.2">
      <c r="A470">
        <v>59</v>
      </c>
      <c r="B470" t="s">
        <v>61</v>
      </c>
    </row>
    <row r="471" spans="1:2" x14ac:dyDescent="0.2">
      <c r="A471">
        <v>58</v>
      </c>
      <c r="B471" t="s">
        <v>60</v>
      </c>
    </row>
    <row r="472" spans="1:2" x14ac:dyDescent="0.2">
      <c r="A472">
        <v>57</v>
      </c>
      <c r="B472" t="s">
        <v>59</v>
      </c>
    </row>
    <row r="473" spans="1:2" x14ac:dyDescent="0.2">
      <c r="A473">
        <v>56</v>
      </c>
      <c r="B473" t="s">
        <v>58</v>
      </c>
    </row>
    <row r="474" spans="1:2" x14ac:dyDescent="0.2">
      <c r="A474">
        <v>55</v>
      </c>
      <c r="B474" t="s">
        <v>57</v>
      </c>
    </row>
    <row r="475" spans="1:2" x14ac:dyDescent="0.2">
      <c r="A475">
        <v>54</v>
      </c>
      <c r="B475" t="s">
        <v>56</v>
      </c>
    </row>
    <row r="476" spans="1:2" x14ac:dyDescent="0.2">
      <c r="A476">
        <v>53</v>
      </c>
      <c r="B476" t="s">
        <v>55</v>
      </c>
    </row>
    <row r="477" spans="1:2" x14ac:dyDescent="0.2">
      <c r="A477">
        <v>52</v>
      </c>
      <c r="B477" t="s">
        <v>54</v>
      </c>
    </row>
    <row r="478" spans="1:2" x14ac:dyDescent="0.2">
      <c r="A478">
        <v>51</v>
      </c>
      <c r="B478" t="s">
        <v>53</v>
      </c>
    </row>
    <row r="479" spans="1:2" x14ac:dyDescent="0.2">
      <c r="A479">
        <v>50</v>
      </c>
      <c r="B479" t="s">
        <v>52</v>
      </c>
    </row>
    <row r="480" spans="1:2" x14ac:dyDescent="0.2">
      <c r="A480">
        <v>49</v>
      </c>
      <c r="B480" t="s">
        <v>51</v>
      </c>
    </row>
    <row r="481" spans="1:2" x14ac:dyDescent="0.2">
      <c r="A481">
        <v>48</v>
      </c>
      <c r="B481" t="s">
        <v>50</v>
      </c>
    </row>
    <row r="482" spans="1:2" x14ac:dyDescent="0.2">
      <c r="A482">
        <v>47</v>
      </c>
      <c r="B482" t="s">
        <v>49</v>
      </c>
    </row>
    <row r="483" spans="1:2" x14ac:dyDescent="0.2">
      <c r="A483">
        <v>46</v>
      </c>
      <c r="B483" t="s">
        <v>48</v>
      </c>
    </row>
    <row r="484" spans="1:2" x14ac:dyDescent="0.2">
      <c r="A484">
        <v>45</v>
      </c>
      <c r="B484" t="s">
        <v>47</v>
      </c>
    </row>
    <row r="485" spans="1:2" x14ac:dyDescent="0.2">
      <c r="A485">
        <v>44</v>
      </c>
      <c r="B485" t="s">
        <v>46</v>
      </c>
    </row>
    <row r="486" spans="1:2" x14ac:dyDescent="0.2">
      <c r="A486">
        <v>43</v>
      </c>
      <c r="B486" t="s">
        <v>45</v>
      </c>
    </row>
    <row r="487" spans="1:2" x14ac:dyDescent="0.2">
      <c r="A487">
        <v>42</v>
      </c>
      <c r="B487" t="s">
        <v>44</v>
      </c>
    </row>
    <row r="488" spans="1:2" x14ac:dyDescent="0.2">
      <c r="A488">
        <v>41</v>
      </c>
      <c r="B488" t="s">
        <v>43</v>
      </c>
    </row>
    <row r="489" spans="1:2" x14ac:dyDescent="0.2">
      <c r="A489">
        <v>40</v>
      </c>
      <c r="B489" t="s">
        <v>42</v>
      </c>
    </row>
    <row r="490" spans="1:2" x14ac:dyDescent="0.2">
      <c r="A490">
        <v>39</v>
      </c>
      <c r="B490" t="s">
        <v>41</v>
      </c>
    </row>
    <row r="491" spans="1:2" x14ac:dyDescent="0.2">
      <c r="A491">
        <v>38</v>
      </c>
      <c r="B491" t="s">
        <v>40</v>
      </c>
    </row>
    <row r="492" spans="1:2" x14ac:dyDescent="0.2">
      <c r="A492">
        <v>37</v>
      </c>
      <c r="B492" t="s">
        <v>39</v>
      </c>
    </row>
    <row r="493" spans="1:2" x14ac:dyDescent="0.2">
      <c r="A493">
        <v>36</v>
      </c>
      <c r="B493" t="s">
        <v>38</v>
      </c>
    </row>
    <row r="494" spans="1:2" x14ac:dyDescent="0.2">
      <c r="A494">
        <v>35</v>
      </c>
      <c r="B494" t="s">
        <v>37</v>
      </c>
    </row>
    <row r="495" spans="1:2" x14ac:dyDescent="0.2">
      <c r="A495">
        <v>34</v>
      </c>
      <c r="B495" t="s">
        <v>36</v>
      </c>
    </row>
    <row r="496" spans="1:2" x14ac:dyDescent="0.2">
      <c r="A496">
        <v>33</v>
      </c>
      <c r="B496" t="s">
        <v>35</v>
      </c>
    </row>
    <row r="497" spans="1:2" x14ac:dyDescent="0.2">
      <c r="A497">
        <v>32</v>
      </c>
      <c r="B497" t="s">
        <v>34</v>
      </c>
    </row>
    <row r="498" spans="1:2" x14ac:dyDescent="0.2">
      <c r="A498">
        <v>31</v>
      </c>
      <c r="B498" t="s">
        <v>33</v>
      </c>
    </row>
    <row r="499" spans="1:2" x14ac:dyDescent="0.2">
      <c r="A499">
        <v>30</v>
      </c>
      <c r="B499" t="s">
        <v>32</v>
      </c>
    </row>
    <row r="500" spans="1:2" x14ac:dyDescent="0.2">
      <c r="A500">
        <v>29</v>
      </c>
      <c r="B500" t="s">
        <v>31</v>
      </c>
    </row>
    <row r="501" spans="1:2" x14ac:dyDescent="0.2">
      <c r="A501">
        <v>28</v>
      </c>
      <c r="B501" t="s">
        <v>30</v>
      </c>
    </row>
    <row r="502" spans="1:2" x14ac:dyDescent="0.2">
      <c r="A502">
        <v>27</v>
      </c>
      <c r="B502" t="s">
        <v>29</v>
      </c>
    </row>
    <row r="503" spans="1:2" x14ac:dyDescent="0.2">
      <c r="A503">
        <v>26</v>
      </c>
      <c r="B503" t="s">
        <v>28</v>
      </c>
    </row>
    <row r="504" spans="1:2" x14ac:dyDescent="0.2">
      <c r="A504">
        <v>25</v>
      </c>
      <c r="B504" t="s">
        <v>27</v>
      </c>
    </row>
    <row r="505" spans="1:2" x14ac:dyDescent="0.2">
      <c r="A505">
        <v>24</v>
      </c>
      <c r="B505" t="s">
        <v>26</v>
      </c>
    </row>
    <row r="506" spans="1:2" x14ac:dyDescent="0.2">
      <c r="A506">
        <v>23</v>
      </c>
      <c r="B506" t="s">
        <v>25</v>
      </c>
    </row>
    <row r="507" spans="1:2" x14ac:dyDescent="0.2">
      <c r="A507">
        <v>22</v>
      </c>
      <c r="B507" t="s">
        <v>24</v>
      </c>
    </row>
    <row r="508" spans="1:2" x14ac:dyDescent="0.2">
      <c r="A508">
        <v>21</v>
      </c>
      <c r="B508" t="s">
        <v>23</v>
      </c>
    </row>
    <row r="509" spans="1:2" x14ac:dyDescent="0.2">
      <c r="A509">
        <v>20</v>
      </c>
      <c r="B509" t="s">
        <v>22</v>
      </c>
    </row>
    <row r="510" spans="1:2" x14ac:dyDescent="0.2">
      <c r="A510">
        <v>19</v>
      </c>
      <c r="B510" t="s">
        <v>21</v>
      </c>
    </row>
    <row r="511" spans="1:2" x14ac:dyDescent="0.2">
      <c r="A511">
        <v>18</v>
      </c>
      <c r="B511" t="s">
        <v>20</v>
      </c>
    </row>
    <row r="512" spans="1:2" x14ac:dyDescent="0.2">
      <c r="A512">
        <v>17</v>
      </c>
      <c r="B512" t="s">
        <v>19</v>
      </c>
    </row>
    <row r="513" spans="1:2" x14ac:dyDescent="0.2">
      <c r="A513">
        <v>16</v>
      </c>
      <c r="B513" t="s">
        <v>18</v>
      </c>
    </row>
    <row r="514" spans="1:2" x14ac:dyDescent="0.2">
      <c r="A514">
        <v>15</v>
      </c>
      <c r="B514" t="s">
        <v>17</v>
      </c>
    </row>
    <row r="515" spans="1:2" x14ac:dyDescent="0.2">
      <c r="A515">
        <v>14</v>
      </c>
      <c r="B515" t="s">
        <v>16</v>
      </c>
    </row>
    <row r="516" spans="1:2" x14ac:dyDescent="0.2">
      <c r="A516">
        <v>13</v>
      </c>
      <c r="B516" t="s">
        <v>15</v>
      </c>
    </row>
    <row r="517" spans="1:2" x14ac:dyDescent="0.2">
      <c r="A517">
        <v>12</v>
      </c>
      <c r="B517" t="s">
        <v>14</v>
      </c>
    </row>
    <row r="518" spans="1:2" x14ac:dyDescent="0.2">
      <c r="A518">
        <v>11</v>
      </c>
      <c r="B518" t="s">
        <v>13</v>
      </c>
    </row>
    <row r="519" spans="1:2" x14ac:dyDescent="0.2">
      <c r="A519">
        <v>10</v>
      </c>
      <c r="B519" t="s">
        <v>12</v>
      </c>
    </row>
    <row r="520" spans="1:2" x14ac:dyDescent="0.2">
      <c r="A520">
        <v>9</v>
      </c>
      <c r="B520" t="s">
        <v>11</v>
      </c>
    </row>
    <row r="521" spans="1:2" x14ac:dyDescent="0.2">
      <c r="A521">
        <v>8</v>
      </c>
      <c r="B521" t="s">
        <v>10</v>
      </c>
    </row>
    <row r="522" spans="1:2" x14ac:dyDescent="0.2">
      <c r="A522">
        <v>7</v>
      </c>
      <c r="B522" t="s">
        <v>9</v>
      </c>
    </row>
    <row r="523" spans="1:2" x14ac:dyDescent="0.2">
      <c r="A523">
        <v>6</v>
      </c>
      <c r="B523" t="s">
        <v>8</v>
      </c>
    </row>
    <row r="524" spans="1:2" x14ac:dyDescent="0.2">
      <c r="A524">
        <v>5</v>
      </c>
      <c r="B524" t="s">
        <v>7</v>
      </c>
    </row>
    <row r="525" spans="1:2" x14ac:dyDescent="0.2">
      <c r="A525">
        <v>4</v>
      </c>
      <c r="B525" t="s">
        <v>6</v>
      </c>
    </row>
    <row r="526" spans="1:2" x14ac:dyDescent="0.2">
      <c r="A526">
        <v>3</v>
      </c>
      <c r="B526" t="s">
        <v>5</v>
      </c>
    </row>
    <row r="527" spans="1:2" x14ac:dyDescent="0.2">
      <c r="A527">
        <v>2</v>
      </c>
      <c r="B527" t="s">
        <v>4</v>
      </c>
    </row>
    <row r="528" spans="1:2" x14ac:dyDescent="0.2">
      <c r="A528">
        <v>1</v>
      </c>
      <c r="B528" t="s">
        <v>3</v>
      </c>
    </row>
  </sheetData>
  <autoFilter ref="A1:B528" xr:uid="{69184802-2AF7-4C9E-8BD8-BCFCCD8C4E34}">
    <sortState xmlns:xlrd2="http://schemas.microsoft.com/office/spreadsheetml/2017/richdata2" ref="A2:B528">
      <sortCondition descending="1" ref="A1:A528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0459-8E5A-4C84-80BB-4116821E4FD8}">
  <dimension ref="A1:D264"/>
  <sheetViews>
    <sheetView tabSelected="1" workbookViewId="0">
      <selection activeCell="D3" sqref="D3"/>
    </sheetView>
  </sheetViews>
  <sheetFormatPr defaultRowHeight="15" x14ac:dyDescent="0.2"/>
  <cols>
    <col min="1" max="1" width="13.71875" bestFit="1" customWidth="1"/>
    <col min="2" max="2" width="13.98828125" bestFit="1" customWidth="1"/>
    <col min="3" max="3" width="11.43359375" bestFit="1" customWidth="1"/>
  </cols>
  <sheetData>
    <row r="1" spans="1:4" x14ac:dyDescent="0.2">
      <c r="A1" t="s">
        <v>549</v>
      </c>
      <c r="B1" t="s">
        <v>550</v>
      </c>
      <c r="C1" t="s">
        <v>551</v>
      </c>
      <c r="D1" t="s">
        <v>548</v>
      </c>
    </row>
    <row r="2" spans="1:4" x14ac:dyDescent="0.2">
      <c r="A2" s="6">
        <f>A3+6</f>
        <v>45938</v>
      </c>
      <c r="B2" s="6">
        <f>A2-1</f>
        <v>45937</v>
      </c>
      <c r="C2">
        <v>592</v>
      </c>
      <c r="D2">
        <v>4.7300000000000004</v>
      </c>
    </row>
    <row r="3" spans="1:4" x14ac:dyDescent="0.2">
      <c r="A3" s="6">
        <f t="shared" ref="A2:A6" si="0">A4+7</f>
        <v>45932</v>
      </c>
      <c r="B3" s="6">
        <f>A3-2</f>
        <v>45930</v>
      </c>
      <c r="C3">
        <v>591</v>
      </c>
      <c r="D3">
        <v>4.83</v>
      </c>
    </row>
    <row r="4" spans="1:4" x14ac:dyDescent="0.2">
      <c r="A4" s="6">
        <f t="shared" si="0"/>
        <v>45925</v>
      </c>
      <c r="B4" s="6">
        <f t="shared" ref="B4:B9" si="1">A4-1</f>
        <v>45924</v>
      </c>
      <c r="C4">
        <v>590</v>
      </c>
      <c r="D4">
        <v>4.83</v>
      </c>
    </row>
    <row r="5" spans="1:4" x14ac:dyDescent="0.2">
      <c r="A5" s="6">
        <f t="shared" si="0"/>
        <v>45918</v>
      </c>
      <c r="B5" s="6">
        <f t="shared" si="1"/>
        <v>45917</v>
      </c>
      <c r="C5">
        <v>589</v>
      </c>
      <c r="D5">
        <v>4.78</v>
      </c>
    </row>
    <row r="6" spans="1:4" x14ac:dyDescent="0.2">
      <c r="A6" s="6">
        <f t="shared" si="0"/>
        <v>45911</v>
      </c>
      <c r="B6" s="6">
        <f t="shared" si="1"/>
        <v>45910</v>
      </c>
      <c r="C6">
        <v>588</v>
      </c>
      <c r="D6">
        <v>4.7300000000000004</v>
      </c>
    </row>
    <row r="7" spans="1:4" x14ac:dyDescent="0.2">
      <c r="A7" s="6">
        <f t="shared" ref="A7" si="2">A8+7</f>
        <v>45904</v>
      </c>
      <c r="B7" s="6">
        <f t="shared" si="1"/>
        <v>45903</v>
      </c>
      <c r="C7">
        <v>587</v>
      </c>
      <c r="D7">
        <v>4.7</v>
      </c>
    </row>
    <row r="8" spans="1:4" x14ac:dyDescent="0.2">
      <c r="A8" s="6">
        <f t="shared" ref="A8:A15" si="3">A9+7</f>
        <v>45897</v>
      </c>
      <c r="B8" s="6">
        <f t="shared" si="1"/>
        <v>45896</v>
      </c>
      <c r="C8">
        <v>586</v>
      </c>
      <c r="D8">
        <v>4.62</v>
      </c>
    </row>
    <row r="9" spans="1:4" x14ac:dyDescent="0.2">
      <c r="A9" s="6">
        <f t="shared" si="3"/>
        <v>45890</v>
      </c>
      <c r="B9" s="6">
        <f t="shared" si="1"/>
        <v>45889</v>
      </c>
      <c r="C9">
        <v>585</v>
      </c>
      <c r="D9">
        <v>4.5199999999999996</v>
      </c>
    </row>
    <row r="10" spans="1:4" x14ac:dyDescent="0.2">
      <c r="A10" s="6">
        <f t="shared" si="3"/>
        <v>45883</v>
      </c>
      <c r="B10" s="6">
        <f t="shared" ref="B10:B15" si="4">A10-2</f>
        <v>45881</v>
      </c>
      <c r="C10">
        <v>584</v>
      </c>
      <c r="D10">
        <v>4.46</v>
      </c>
    </row>
    <row r="11" spans="1:4" x14ac:dyDescent="0.2">
      <c r="A11" s="6">
        <f t="shared" si="3"/>
        <v>45876</v>
      </c>
      <c r="B11" s="6">
        <f t="shared" si="4"/>
        <v>45874</v>
      </c>
      <c r="C11">
        <v>583</v>
      </c>
      <c r="D11">
        <v>4.41</v>
      </c>
    </row>
    <row r="12" spans="1:4" x14ac:dyDescent="0.2">
      <c r="A12" s="6">
        <f t="shared" si="3"/>
        <v>45869</v>
      </c>
      <c r="B12" s="6">
        <f t="shared" si="4"/>
        <v>45867</v>
      </c>
      <c r="C12">
        <v>582</v>
      </c>
      <c r="D12">
        <v>4.3099999999999996</v>
      </c>
    </row>
    <row r="13" spans="1:4" x14ac:dyDescent="0.2">
      <c r="A13" s="6">
        <f t="shared" si="3"/>
        <v>45862</v>
      </c>
      <c r="B13" s="6">
        <f t="shared" si="4"/>
        <v>45860</v>
      </c>
      <c r="C13">
        <v>581</v>
      </c>
      <c r="D13">
        <v>4.2</v>
      </c>
    </row>
    <row r="14" spans="1:4" x14ac:dyDescent="0.2">
      <c r="A14" s="6">
        <f t="shared" si="3"/>
        <v>45855</v>
      </c>
      <c r="B14" s="6">
        <f t="shared" si="4"/>
        <v>45853</v>
      </c>
      <c r="C14">
        <v>580</v>
      </c>
      <c r="D14">
        <v>4.04</v>
      </c>
    </row>
    <row r="15" spans="1:4" x14ac:dyDescent="0.2">
      <c r="A15" s="6">
        <f t="shared" si="3"/>
        <v>45848</v>
      </c>
      <c r="B15" s="6">
        <f t="shared" si="4"/>
        <v>45846</v>
      </c>
      <c r="C15">
        <v>579</v>
      </c>
      <c r="D15">
        <v>3.99</v>
      </c>
    </row>
    <row r="16" spans="1:4" x14ac:dyDescent="0.2">
      <c r="A16" s="6">
        <f t="shared" ref="A16:A55" si="5">B16+2</f>
        <v>45841</v>
      </c>
      <c r="B16" s="6">
        <v>45839</v>
      </c>
      <c r="C16" s="7">
        <v>578</v>
      </c>
      <c r="D16">
        <v>3.75</v>
      </c>
    </row>
    <row r="17" spans="1:4" x14ac:dyDescent="0.2">
      <c r="A17" s="6">
        <f t="shared" si="5"/>
        <v>45834</v>
      </c>
      <c r="B17" s="6">
        <f>B16-7</f>
        <v>45832</v>
      </c>
      <c r="C17" s="7">
        <f>C16-1</f>
        <v>577</v>
      </c>
      <c r="D17">
        <f>D16</f>
        <v>3.75</v>
      </c>
    </row>
    <row r="18" spans="1:4" x14ac:dyDescent="0.2">
      <c r="A18" s="6">
        <f t="shared" si="5"/>
        <v>45827</v>
      </c>
      <c r="B18" s="6">
        <f t="shared" ref="B18:B81" si="6">B17-7</f>
        <v>45825</v>
      </c>
      <c r="C18" s="7">
        <f t="shared" ref="C18:C81" si="7">C17-1</f>
        <v>576</v>
      </c>
      <c r="D18">
        <v>3.68</v>
      </c>
    </row>
    <row r="19" spans="1:4" x14ac:dyDescent="0.2">
      <c r="A19" s="6">
        <f t="shared" si="5"/>
        <v>45820</v>
      </c>
      <c r="B19" s="6">
        <f t="shared" si="6"/>
        <v>45818</v>
      </c>
      <c r="C19" s="7">
        <f t="shared" si="7"/>
        <v>575</v>
      </c>
      <c r="D19">
        <v>3.68</v>
      </c>
    </row>
    <row r="20" spans="1:4" x14ac:dyDescent="0.2">
      <c r="A20" s="6">
        <f t="shared" si="5"/>
        <v>45813</v>
      </c>
      <c r="B20" s="6">
        <f t="shared" si="6"/>
        <v>45811</v>
      </c>
      <c r="C20" s="7">
        <f t="shared" si="7"/>
        <v>574</v>
      </c>
      <c r="D20" s="4">
        <f>AVERAGE(D21,D19)</f>
        <v>3.835</v>
      </c>
    </row>
    <row r="21" spans="1:4" x14ac:dyDescent="0.2">
      <c r="A21" s="6">
        <f t="shared" si="5"/>
        <v>45806</v>
      </c>
      <c r="B21" s="6">
        <f t="shared" si="6"/>
        <v>45804</v>
      </c>
      <c r="C21" s="7">
        <f t="shared" si="7"/>
        <v>573</v>
      </c>
      <c r="D21">
        <v>3.99</v>
      </c>
    </row>
    <row r="22" spans="1:4" x14ac:dyDescent="0.2">
      <c r="A22" s="6">
        <f t="shared" si="5"/>
        <v>45799</v>
      </c>
      <c r="B22" s="6">
        <f t="shared" si="6"/>
        <v>45797</v>
      </c>
      <c r="C22" s="7">
        <f t="shared" si="7"/>
        <v>572</v>
      </c>
      <c r="D22">
        <v>3.99</v>
      </c>
    </row>
    <row r="23" spans="1:4" x14ac:dyDescent="0.2">
      <c r="A23" s="6">
        <f t="shared" si="5"/>
        <v>45792</v>
      </c>
      <c r="B23" s="6">
        <f t="shared" si="6"/>
        <v>45790</v>
      </c>
      <c r="C23" s="7">
        <f t="shared" si="7"/>
        <v>571</v>
      </c>
      <c r="D23">
        <v>4.3600000000000003</v>
      </c>
    </row>
    <row r="24" spans="1:4" x14ac:dyDescent="0.2">
      <c r="A24" s="6">
        <f t="shared" si="5"/>
        <v>45785</v>
      </c>
      <c r="B24" s="6">
        <f t="shared" si="6"/>
        <v>45783</v>
      </c>
      <c r="C24" s="7">
        <f t="shared" si="7"/>
        <v>570</v>
      </c>
      <c r="D24">
        <v>4.3600000000000003</v>
      </c>
    </row>
    <row r="25" spans="1:4" x14ac:dyDescent="0.2">
      <c r="A25" s="6">
        <f t="shared" si="5"/>
        <v>45778</v>
      </c>
      <c r="B25" s="6">
        <f t="shared" si="6"/>
        <v>45776</v>
      </c>
      <c r="C25" s="7">
        <f t="shared" si="7"/>
        <v>569</v>
      </c>
      <c r="D25">
        <v>4.1500000000000004</v>
      </c>
    </row>
    <row r="26" spans="1:4" x14ac:dyDescent="0.2">
      <c r="A26" s="6">
        <f t="shared" si="5"/>
        <v>45771</v>
      </c>
      <c r="B26" s="6">
        <f t="shared" si="6"/>
        <v>45769</v>
      </c>
      <c r="C26" s="7">
        <f t="shared" si="7"/>
        <v>568</v>
      </c>
      <c r="D26">
        <v>4.1500000000000004</v>
      </c>
    </row>
    <row r="27" spans="1:4" x14ac:dyDescent="0.2">
      <c r="A27" s="6">
        <f t="shared" si="5"/>
        <v>45764</v>
      </c>
      <c r="B27" s="6">
        <f t="shared" si="6"/>
        <v>45762</v>
      </c>
      <c r="C27" s="7">
        <f t="shared" si="7"/>
        <v>567</v>
      </c>
      <c r="D27">
        <v>3.95</v>
      </c>
    </row>
    <row r="28" spans="1:4" x14ac:dyDescent="0.2">
      <c r="A28" s="6">
        <f t="shared" si="5"/>
        <v>45757</v>
      </c>
      <c r="B28" s="6">
        <f t="shared" si="6"/>
        <v>45755</v>
      </c>
      <c r="C28" s="7">
        <f t="shared" si="7"/>
        <v>566</v>
      </c>
      <c r="D28">
        <v>4.05</v>
      </c>
    </row>
    <row r="29" spans="1:4" x14ac:dyDescent="0.2">
      <c r="A29" s="6">
        <f t="shared" si="5"/>
        <v>45750</v>
      </c>
      <c r="B29" s="6">
        <f t="shared" si="6"/>
        <v>45748</v>
      </c>
      <c r="C29" s="7">
        <f t="shared" si="7"/>
        <v>565</v>
      </c>
      <c r="D29">
        <v>3.99</v>
      </c>
    </row>
    <row r="30" spans="1:4" x14ac:dyDescent="0.2">
      <c r="A30" s="6">
        <f t="shared" si="5"/>
        <v>45743</v>
      </c>
      <c r="B30" s="6">
        <f t="shared" si="6"/>
        <v>45741</v>
      </c>
      <c r="C30" s="7">
        <f t="shared" si="7"/>
        <v>564</v>
      </c>
      <c r="D30">
        <v>3.94</v>
      </c>
    </row>
    <row r="31" spans="1:4" x14ac:dyDescent="0.2">
      <c r="A31" s="6">
        <f t="shared" si="5"/>
        <v>45736</v>
      </c>
      <c r="B31" s="6">
        <f t="shared" si="6"/>
        <v>45734</v>
      </c>
      <c r="C31" s="7">
        <f t="shared" si="7"/>
        <v>563</v>
      </c>
      <c r="D31">
        <v>3.89</v>
      </c>
    </row>
    <row r="32" spans="1:4" x14ac:dyDescent="0.2">
      <c r="A32" s="6">
        <f t="shared" si="5"/>
        <v>45729</v>
      </c>
      <c r="B32" s="6">
        <f t="shared" si="6"/>
        <v>45727</v>
      </c>
      <c r="C32" s="7">
        <f t="shared" si="7"/>
        <v>562</v>
      </c>
      <c r="D32">
        <v>3.55</v>
      </c>
    </row>
    <row r="33" spans="1:4" x14ac:dyDescent="0.2">
      <c r="A33" s="6">
        <f t="shared" si="5"/>
        <v>45722</v>
      </c>
      <c r="B33" s="6">
        <f t="shared" si="6"/>
        <v>45720</v>
      </c>
      <c r="C33" s="8"/>
      <c r="D33" s="4">
        <f>AVERAGE(D34,D32)</f>
        <v>3.6150000000000002</v>
      </c>
    </row>
    <row r="34" spans="1:4" x14ac:dyDescent="0.2">
      <c r="A34" s="6">
        <f t="shared" si="5"/>
        <v>45715</v>
      </c>
      <c r="B34" s="6">
        <f t="shared" si="6"/>
        <v>45713</v>
      </c>
      <c r="C34" s="7">
        <f>C32-1</f>
        <v>561</v>
      </c>
      <c r="D34">
        <v>3.68</v>
      </c>
    </row>
    <row r="35" spans="1:4" x14ac:dyDescent="0.2">
      <c r="A35" s="6">
        <f t="shared" si="5"/>
        <v>45708</v>
      </c>
      <c r="B35" s="6">
        <f t="shared" si="6"/>
        <v>45706</v>
      </c>
      <c r="C35" s="7">
        <f t="shared" si="7"/>
        <v>560</v>
      </c>
      <c r="D35">
        <v>3.7</v>
      </c>
    </row>
    <row r="36" spans="1:4" x14ac:dyDescent="0.2">
      <c r="A36" s="6">
        <f t="shared" si="5"/>
        <v>45701</v>
      </c>
      <c r="B36" s="6">
        <f t="shared" si="6"/>
        <v>45699</v>
      </c>
      <c r="C36" s="7">
        <f t="shared" si="7"/>
        <v>559</v>
      </c>
      <c r="D36">
        <v>3.94</v>
      </c>
    </row>
    <row r="37" spans="1:4" x14ac:dyDescent="0.2">
      <c r="A37" s="6">
        <f t="shared" si="5"/>
        <v>45694</v>
      </c>
      <c r="B37" s="6">
        <f t="shared" si="6"/>
        <v>45692</v>
      </c>
      <c r="C37" s="7">
        <f t="shared" si="7"/>
        <v>558</v>
      </c>
      <c r="D37">
        <v>3.85</v>
      </c>
    </row>
    <row r="38" spans="1:4" x14ac:dyDescent="0.2">
      <c r="A38" s="6">
        <f t="shared" si="5"/>
        <v>45687</v>
      </c>
      <c r="B38" s="6">
        <f t="shared" si="6"/>
        <v>45685</v>
      </c>
      <c r="C38" s="7">
        <f t="shared" si="7"/>
        <v>557</v>
      </c>
      <c r="D38">
        <v>3.83</v>
      </c>
    </row>
    <row r="39" spans="1:4" x14ac:dyDescent="0.2">
      <c r="A39" s="6">
        <f t="shared" si="5"/>
        <v>45680</v>
      </c>
      <c r="B39" s="6">
        <f t="shared" si="6"/>
        <v>45678</v>
      </c>
      <c r="C39" s="7">
        <f t="shared" si="7"/>
        <v>556</v>
      </c>
      <c r="D39">
        <v>3.73</v>
      </c>
    </row>
    <row r="40" spans="1:4" x14ac:dyDescent="0.2">
      <c r="A40" s="6">
        <f t="shared" si="5"/>
        <v>45673</v>
      </c>
      <c r="B40" s="6">
        <f t="shared" si="6"/>
        <v>45671</v>
      </c>
      <c r="C40" s="8"/>
      <c r="D40" s="4">
        <f>AVERAGE(D41,D39)</f>
        <v>3.73</v>
      </c>
    </row>
    <row r="41" spans="1:4" x14ac:dyDescent="0.2">
      <c r="A41" s="6">
        <f t="shared" si="5"/>
        <v>45666</v>
      </c>
      <c r="B41" s="6">
        <f t="shared" si="6"/>
        <v>45664</v>
      </c>
      <c r="C41" s="7">
        <f>C39-1</f>
        <v>555</v>
      </c>
      <c r="D41">
        <v>3.73</v>
      </c>
    </row>
    <row r="42" spans="1:4" x14ac:dyDescent="0.2">
      <c r="A42" s="6">
        <f t="shared" si="5"/>
        <v>45659</v>
      </c>
      <c r="B42" s="6">
        <f t="shared" si="6"/>
        <v>45657</v>
      </c>
      <c r="C42" s="8"/>
      <c r="D42" s="4">
        <f>AVERAGE(D43,D41)</f>
        <v>3.6150000000000002</v>
      </c>
    </row>
    <row r="43" spans="1:4" x14ac:dyDescent="0.2">
      <c r="A43" s="6">
        <f t="shared" si="5"/>
        <v>45652</v>
      </c>
      <c r="B43" s="6">
        <f t="shared" si="6"/>
        <v>45650</v>
      </c>
      <c r="C43" s="7">
        <f>C41-1</f>
        <v>554</v>
      </c>
      <c r="D43">
        <v>3.5</v>
      </c>
    </row>
    <row r="44" spans="1:4" x14ac:dyDescent="0.2">
      <c r="A44" s="6">
        <f t="shared" si="5"/>
        <v>45645</v>
      </c>
      <c r="B44" s="6">
        <f t="shared" si="6"/>
        <v>45643</v>
      </c>
      <c r="C44" s="7">
        <f t="shared" si="7"/>
        <v>553</v>
      </c>
      <c r="D44">
        <v>3.35</v>
      </c>
    </row>
    <row r="45" spans="1:4" x14ac:dyDescent="0.2">
      <c r="A45" s="6">
        <f t="shared" si="5"/>
        <v>45638</v>
      </c>
      <c r="B45" s="6">
        <f t="shared" si="6"/>
        <v>45636</v>
      </c>
      <c r="C45" s="7">
        <f t="shared" si="7"/>
        <v>552</v>
      </c>
      <c r="D45">
        <v>3.4</v>
      </c>
    </row>
    <row r="46" spans="1:4" x14ac:dyDescent="0.2">
      <c r="A46" s="6">
        <f t="shared" si="5"/>
        <v>45631</v>
      </c>
      <c r="B46" s="6">
        <f t="shared" si="6"/>
        <v>45629</v>
      </c>
      <c r="C46" s="7">
        <f t="shared" si="7"/>
        <v>551</v>
      </c>
      <c r="D46">
        <v>3.35</v>
      </c>
    </row>
    <row r="47" spans="1:4" x14ac:dyDescent="0.2">
      <c r="A47" s="6">
        <f t="shared" si="5"/>
        <v>45624</v>
      </c>
      <c r="B47" s="6">
        <f t="shared" si="6"/>
        <v>45622</v>
      </c>
      <c r="C47" s="7">
        <f t="shared" si="7"/>
        <v>550</v>
      </c>
      <c r="D47">
        <v>3.65</v>
      </c>
    </row>
    <row r="48" spans="1:4" x14ac:dyDescent="0.2">
      <c r="A48" s="6">
        <f t="shared" si="5"/>
        <v>45617</v>
      </c>
      <c r="B48" s="6">
        <f t="shared" si="6"/>
        <v>45615</v>
      </c>
      <c r="C48" s="7">
        <f t="shared" si="7"/>
        <v>549</v>
      </c>
      <c r="D48">
        <v>3.5</v>
      </c>
    </row>
    <row r="49" spans="1:4" x14ac:dyDescent="0.2">
      <c r="A49" s="6">
        <f t="shared" si="5"/>
        <v>45610</v>
      </c>
      <c r="B49" s="6">
        <f t="shared" si="6"/>
        <v>45608</v>
      </c>
      <c r="C49" s="7">
        <f t="shared" si="7"/>
        <v>548</v>
      </c>
      <c r="D49">
        <v>3.65</v>
      </c>
    </row>
    <row r="50" spans="1:4" x14ac:dyDescent="0.2">
      <c r="A50" s="6">
        <f t="shared" si="5"/>
        <v>45603</v>
      </c>
      <c r="B50" s="6">
        <f t="shared" si="6"/>
        <v>45601</v>
      </c>
      <c r="C50" s="7">
        <f t="shared" si="7"/>
        <v>547</v>
      </c>
      <c r="D50">
        <v>3.7</v>
      </c>
    </row>
    <row r="51" spans="1:4" x14ac:dyDescent="0.2">
      <c r="A51" s="6">
        <f t="shared" si="5"/>
        <v>45596</v>
      </c>
      <c r="B51" s="6">
        <f t="shared" si="6"/>
        <v>45594</v>
      </c>
      <c r="C51" s="7">
        <f t="shared" si="7"/>
        <v>546</v>
      </c>
      <c r="D51">
        <v>3.4</v>
      </c>
    </row>
    <row r="52" spans="1:4" x14ac:dyDescent="0.2">
      <c r="A52" s="6">
        <f t="shared" si="5"/>
        <v>45589</v>
      </c>
      <c r="B52" s="6">
        <f t="shared" si="6"/>
        <v>45587</v>
      </c>
      <c r="C52" s="7">
        <f t="shared" si="7"/>
        <v>545</v>
      </c>
      <c r="D52">
        <v>3.4</v>
      </c>
    </row>
    <row r="53" spans="1:4" x14ac:dyDescent="0.2">
      <c r="A53" s="6">
        <f t="shared" si="5"/>
        <v>45582</v>
      </c>
      <c r="B53" s="6">
        <f t="shared" si="6"/>
        <v>45580</v>
      </c>
      <c r="C53" s="7">
        <f t="shared" si="7"/>
        <v>544</v>
      </c>
      <c r="D53">
        <v>3.3</v>
      </c>
    </row>
    <row r="54" spans="1:4" x14ac:dyDescent="0.2">
      <c r="A54" s="6">
        <f t="shared" si="5"/>
        <v>45575</v>
      </c>
      <c r="B54" s="6">
        <f t="shared" si="6"/>
        <v>45573</v>
      </c>
      <c r="C54" s="7">
        <f t="shared" si="7"/>
        <v>543</v>
      </c>
      <c r="D54">
        <v>3.25</v>
      </c>
    </row>
    <row r="55" spans="1:4" x14ac:dyDescent="0.2">
      <c r="A55" s="6">
        <f t="shared" si="5"/>
        <v>45568</v>
      </c>
      <c r="B55" s="6">
        <f t="shared" si="6"/>
        <v>45566</v>
      </c>
      <c r="C55" s="8"/>
      <c r="D55" s="4">
        <f>AVERAGE(D56,D54)</f>
        <v>3.2250000000000001</v>
      </c>
    </row>
    <row r="56" spans="1:4" x14ac:dyDescent="0.2">
      <c r="A56" s="6">
        <f>B56+3</f>
        <v>45562</v>
      </c>
      <c r="B56" s="6">
        <f t="shared" si="6"/>
        <v>45559</v>
      </c>
      <c r="C56" s="7">
        <f>C54-1</f>
        <v>542</v>
      </c>
      <c r="D56">
        <v>3.2</v>
      </c>
    </row>
    <row r="57" spans="1:4" x14ac:dyDescent="0.2">
      <c r="A57" s="6">
        <f t="shared" ref="A57:A84" si="8">B57+2</f>
        <v>45554</v>
      </c>
      <c r="B57" s="6">
        <f t="shared" si="6"/>
        <v>45552</v>
      </c>
      <c r="C57" s="7">
        <f t="shared" si="7"/>
        <v>541</v>
      </c>
      <c r="D57">
        <v>3.15</v>
      </c>
    </row>
    <row r="58" spans="1:4" x14ac:dyDescent="0.2">
      <c r="A58" s="6">
        <f t="shared" si="8"/>
        <v>45547</v>
      </c>
      <c r="B58" s="6">
        <f t="shared" si="6"/>
        <v>45545</v>
      </c>
      <c r="C58" s="7">
        <f t="shared" si="7"/>
        <v>540</v>
      </c>
      <c r="D58">
        <v>3.15</v>
      </c>
    </row>
    <row r="59" spans="1:4" x14ac:dyDescent="0.2">
      <c r="A59" s="6">
        <f t="shared" si="8"/>
        <v>45540</v>
      </c>
      <c r="B59" s="6">
        <f t="shared" si="6"/>
        <v>45538</v>
      </c>
      <c r="C59" s="7">
        <f t="shared" si="7"/>
        <v>539</v>
      </c>
      <c r="D59">
        <v>3.1</v>
      </c>
    </row>
    <row r="60" spans="1:4" x14ac:dyDescent="0.2">
      <c r="A60" s="6">
        <f t="shared" si="8"/>
        <v>45533</v>
      </c>
      <c r="B60" s="6">
        <f t="shared" si="6"/>
        <v>45531</v>
      </c>
      <c r="C60" s="7">
        <f t="shared" si="7"/>
        <v>538</v>
      </c>
      <c r="D60">
        <v>3.1</v>
      </c>
    </row>
    <row r="61" spans="1:4" x14ac:dyDescent="0.2">
      <c r="A61" s="6">
        <f t="shared" si="8"/>
        <v>45526</v>
      </c>
      <c r="B61" s="6">
        <f t="shared" si="6"/>
        <v>45524</v>
      </c>
      <c r="C61" s="7">
        <f t="shared" si="7"/>
        <v>537</v>
      </c>
      <c r="D61">
        <v>3.05</v>
      </c>
    </row>
    <row r="62" spans="1:4" x14ac:dyDescent="0.2">
      <c r="A62" s="6">
        <f t="shared" si="8"/>
        <v>45519</v>
      </c>
      <c r="B62" s="6">
        <f t="shared" si="6"/>
        <v>45517</v>
      </c>
      <c r="C62" s="7">
        <f t="shared" si="7"/>
        <v>536</v>
      </c>
      <c r="D62">
        <v>3.05</v>
      </c>
    </row>
    <row r="63" spans="1:4" x14ac:dyDescent="0.2">
      <c r="A63" s="6">
        <f t="shared" si="8"/>
        <v>45512</v>
      </c>
      <c r="B63" s="6">
        <f t="shared" si="6"/>
        <v>45510</v>
      </c>
      <c r="C63" s="7">
        <f t="shared" si="7"/>
        <v>535</v>
      </c>
      <c r="D63">
        <v>3.1</v>
      </c>
    </row>
    <row r="64" spans="1:4" x14ac:dyDescent="0.2">
      <c r="A64" s="6">
        <f t="shared" si="8"/>
        <v>45505</v>
      </c>
      <c r="B64" s="6">
        <f t="shared" si="6"/>
        <v>45503</v>
      </c>
      <c r="C64" s="7">
        <f t="shared" si="7"/>
        <v>534</v>
      </c>
      <c r="D64">
        <v>3.25</v>
      </c>
    </row>
    <row r="65" spans="1:4" x14ac:dyDescent="0.2">
      <c r="A65" s="6">
        <f t="shared" si="8"/>
        <v>45498</v>
      </c>
      <c r="B65" s="6">
        <f t="shared" si="6"/>
        <v>45496</v>
      </c>
      <c r="C65" s="7">
        <f t="shared" si="7"/>
        <v>533</v>
      </c>
      <c r="D65">
        <v>3.15</v>
      </c>
    </row>
    <row r="66" spans="1:4" x14ac:dyDescent="0.2">
      <c r="A66" s="6">
        <f t="shared" si="8"/>
        <v>45491</v>
      </c>
      <c r="B66" s="6">
        <f t="shared" si="6"/>
        <v>45489</v>
      </c>
      <c r="C66" s="7">
        <f t="shared" si="7"/>
        <v>532</v>
      </c>
      <c r="D66">
        <v>3.1</v>
      </c>
    </row>
    <row r="67" spans="1:4" x14ac:dyDescent="0.2">
      <c r="A67" s="6">
        <f t="shared" si="8"/>
        <v>45484</v>
      </c>
      <c r="B67" s="6">
        <f t="shared" si="6"/>
        <v>45482</v>
      </c>
      <c r="C67" s="7">
        <f t="shared" si="7"/>
        <v>531</v>
      </c>
      <c r="D67">
        <v>3.15</v>
      </c>
    </row>
    <row r="68" spans="1:4" x14ac:dyDescent="0.2">
      <c r="A68" s="6">
        <f t="shared" si="8"/>
        <v>45477</v>
      </c>
      <c r="B68" s="6">
        <f t="shared" si="6"/>
        <v>45475</v>
      </c>
      <c r="C68" s="7">
        <f t="shared" si="7"/>
        <v>530</v>
      </c>
      <c r="D68">
        <v>3.15</v>
      </c>
    </row>
    <row r="69" spans="1:4" x14ac:dyDescent="0.2">
      <c r="A69" s="6">
        <f t="shared" si="8"/>
        <v>45470</v>
      </c>
      <c r="B69" s="6">
        <f t="shared" si="6"/>
        <v>45468</v>
      </c>
      <c r="C69" s="7">
        <f t="shared" si="7"/>
        <v>529</v>
      </c>
      <c r="D69">
        <v>3.15</v>
      </c>
    </row>
    <row r="70" spans="1:4" x14ac:dyDescent="0.2">
      <c r="A70" s="6">
        <f t="shared" si="8"/>
        <v>45463</v>
      </c>
      <c r="B70" s="6">
        <f t="shared" si="6"/>
        <v>45461</v>
      </c>
      <c r="C70" s="7">
        <f t="shared" si="7"/>
        <v>528</v>
      </c>
      <c r="D70">
        <v>3.15</v>
      </c>
    </row>
    <row r="71" spans="1:4" x14ac:dyDescent="0.2">
      <c r="A71" s="6">
        <f t="shared" si="8"/>
        <v>45456</v>
      </c>
      <c r="B71" s="6">
        <f t="shared" si="6"/>
        <v>45454</v>
      </c>
      <c r="C71" s="7">
        <f t="shared" si="7"/>
        <v>527</v>
      </c>
      <c r="D71">
        <v>3</v>
      </c>
    </row>
    <row r="72" spans="1:4" x14ac:dyDescent="0.2">
      <c r="A72" s="6">
        <f t="shared" si="8"/>
        <v>45449</v>
      </c>
      <c r="B72" s="6">
        <f t="shared" si="6"/>
        <v>45447</v>
      </c>
      <c r="C72" s="7">
        <f t="shared" si="7"/>
        <v>526</v>
      </c>
      <c r="D72">
        <v>3.1</v>
      </c>
    </row>
    <row r="73" spans="1:4" x14ac:dyDescent="0.2">
      <c r="A73" s="6">
        <f t="shared" si="8"/>
        <v>45442</v>
      </c>
      <c r="B73" s="6">
        <f t="shared" si="6"/>
        <v>45440</v>
      </c>
      <c r="C73" s="7">
        <f t="shared" si="7"/>
        <v>525</v>
      </c>
      <c r="D73">
        <v>3.1</v>
      </c>
    </row>
    <row r="74" spans="1:4" x14ac:dyDescent="0.2">
      <c r="A74" s="6">
        <f t="shared" si="8"/>
        <v>45435</v>
      </c>
      <c r="B74" s="6">
        <f t="shared" si="6"/>
        <v>45433</v>
      </c>
      <c r="C74" s="7">
        <f t="shared" si="7"/>
        <v>524</v>
      </c>
      <c r="D74">
        <v>3.25</v>
      </c>
    </row>
    <row r="75" spans="1:4" x14ac:dyDescent="0.2">
      <c r="A75" s="6">
        <f t="shared" si="8"/>
        <v>45428</v>
      </c>
      <c r="B75" s="6">
        <f t="shared" si="6"/>
        <v>45426</v>
      </c>
      <c r="C75" s="7">
        <f t="shared" si="7"/>
        <v>523</v>
      </c>
      <c r="D75">
        <v>3.2</v>
      </c>
    </row>
    <row r="76" spans="1:4" x14ac:dyDescent="0.2">
      <c r="A76" s="6">
        <f t="shared" si="8"/>
        <v>45421</v>
      </c>
      <c r="B76" s="6">
        <f t="shared" si="6"/>
        <v>45419</v>
      </c>
      <c r="C76" s="7">
        <f t="shared" si="7"/>
        <v>522</v>
      </c>
      <c r="D76">
        <v>3.2</v>
      </c>
    </row>
    <row r="77" spans="1:4" x14ac:dyDescent="0.2">
      <c r="A77" s="6">
        <f t="shared" si="8"/>
        <v>45414</v>
      </c>
      <c r="B77" s="6">
        <f t="shared" si="6"/>
        <v>45412</v>
      </c>
      <c r="C77" s="7">
        <f t="shared" si="7"/>
        <v>521</v>
      </c>
      <c r="D77">
        <v>3.1</v>
      </c>
    </row>
    <row r="78" spans="1:4" x14ac:dyDescent="0.2">
      <c r="A78" s="6">
        <f t="shared" si="8"/>
        <v>45407</v>
      </c>
      <c r="B78" s="6">
        <f t="shared" si="6"/>
        <v>45405</v>
      </c>
      <c r="C78" s="7">
        <f t="shared" si="7"/>
        <v>520</v>
      </c>
      <c r="D78">
        <v>3.1</v>
      </c>
    </row>
    <row r="79" spans="1:4" x14ac:dyDescent="0.2">
      <c r="A79" s="6">
        <f t="shared" si="8"/>
        <v>45400</v>
      </c>
      <c r="B79" s="6">
        <f t="shared" si="6"/>
        <v>45398</v>
      </c>
      <c r="C79" s="7">
        <f t="shared" si="7"/>
        <v>519</v>
      </c>
      <c r="D79">
        <v>3.1</v>
      </c>
    </row>
    <row r="80" spans="1:4" x14ac:dyDescent="0.2">
      <c r="A80" s="6">
        <f t="shared" si="8"/>
        <v>45393</v>
      </c>
      <c r="B80" s="6">
        <f t="shared" si="6"/>
        <v>45391</v>
      </c>
      <c r="C80" s="7">
        <f t="shared" si="7"/>
        <v>518</v>
      </c>
      <c r="D80">
        <v>3.1</v>
      </c>
    </row>
    <row r="81" spans="1:4" x14ac:dyDescent="0.2">
      <c r="A81" s="6">
        <f t="shared" si="8"/>
        <v>45386</v>
      </c>
      <c r="B81" s="6">
        <f t="shared" si="6"/>
        <v>45384</v>
      </c>
      <c r="C81" s="7">
        <f t="shared" si="7"/>
        <v>517</v>
      </c>
      <c r="D81">
        <v>3.1</v>
      </c>
    </row>
    <row r="82" spans="1:4" x14ac:dyDescent="0.2">
      <c r="A82" s="6">
        <f t="shared" si="8"/>
        <v>45379</v>
      </c>
      <c r="B82" s="6">
        <f t="shared" ref="B82:B140" si="9">B81-7</f>
        <v>45377</v>
      </c>
      <c r="C82" s="8"/>
      <c r="D82" s="4">
        <f>AVERAGE(D83,D81)</f>
        <v>3.1500000000000004</v>
      </c>
    </row>
    <row r="83" spans="1:4" x14ac:dyDescent="0.2">
      <c r="A83" s="6">
        <f t="shared" si="8"/>
        <v>45372</v>
      </c>
      <c r="B83" s="6">
        <f t="shared" si="9"/>
        <v>45370</v>
      </c>
      <c r="C83" s="4"/>
      <c r="D83" s="4">
        <f>AVERAGE(D81,D85)</f>
        <v>3.2</v>
      </c>
    </row>
    <row r="84" spans="1:4" x14ac:dyDescent="0.2">
      <c r="A84" s="6">
        <f t="shared" si="8"/>
        <v>45365</v>
      </c>
      <c r="B84" s="6">
        <f t="shared" si="9"/>
        <v>45363</v>
      </c>
      <c r="C84" s="4"/>
      <c r="D84" s="4">
        <f>AVERAGE(D85,D83)</f>
        <v>3.25</v>
      </c>
    </row>
    <row r="85" spans="1:4" x14ac:dyDescent="0.2">
      <c r="A85" s="6">
        <f t="shared" ref="A85:A148" si="10">B85+2</f>
        <v>45358</v>
      </c>
      <c r="B85" s="6">
        <f t="shared" si="9"/>
        <v>45356</v>
      </c>
      <c r="C85" s="7">
        <f>C81-2</f>
        <v>515</v>
      </c>
      <c r="D85">
        <v>3.3</v>
      </c>
    </row>
    <row r="86" spans="1:4" x14ac:dyDescent="0.2">
      <c r="A86" s="6">
        <f t="shared" si="10"/>
        <v>45351</v>
      </c>
      <c r="B86" s="6">
        <f t="shared" si="9"/>
        <v>45349</v>
      </c>
      <c r="C86" s="7">
        <f>C85-1</f>
        <v>514</v>
      </c>
      <c r="D86">
        <v>3.3</v>
      </c>
    </row>
    <row r="87" spans="1:4" x14ac:dyDescent="0.2">
      <c r="A87" s="6">
        <f t="shared" si="10"/>
        <v>45344</v>
      </c>
      <c r="B87" s="6">
        <f t="shared" si="9"/>
        <v>45342</v>
      </c>
      <c r="C87" s="7">
        <f t="shared" ref="C87:C109" si="11">C86-1</f>
        <v>513</v>
      </c>
      <c r="D87">
        <v>3.3</v>
      </c>
    </row>
    <row r="88" spans="1:4" x14ac:dyDescent="0.2">
      <c r="A88" s="6">
        <f t="shared" si="10"/>
        <v>45337</v>
      </c>
      <c r="B88" s="6">
        <f t="shared" si="9"/>
        <v>45335</v>
      </c>
      <c r="C88" s="7">
        <f t="shared" si="11"/>
        <v>512</v>
      </c>
      <c r="D88">
        <v>3.3</v>
      </c>
    </row>
    <row r="89" spans="1:4" x14ac:dyDescent="0.2">
      <c r="A89" s="6">
        <f t="shared" si="10"/>
        <v>45330</v>
      </c>
      <c r="B89" s="6">
        <f t="shared" si="9"/>
        <v>45328</v>
      </c>
      <c r="C89" s="7">
        <f t="shared" si="11"/>
        <v>511</v>
      </c>
      <c r="D89">
        <v>3.3</v>
      </c>
    </row>
    <row r="90" spans="1:4" x14ac:dyDescent="0.2">
      <c r="A90" s="6">
        <f t="shared" si="10"/>
        <v>45323</v>
      </c>
      <c r="B90" s="6">
        <f t="shared" si="9"/>
        <v>45321</v>
      </c>
      <c r="C90" s="7">
        <f t="shared" si="11"/>
        <v>510</v>
      </c>
      <c r="D90">
        <v>3.4</v>
      </c>
    </row>
    <row r="91" spans="1:4" x14ac:dyDescent="0.2">
      <c r="A91" s="6">
        <f t="shared" si="10"/>
        <v>45316</v>
      </c>
      <c r="B91" s="6">
        <f t="shared" si="9"/>
        <v>45314</v>
      </c>
      <c r="C91" s="7">
        <f t="shared" si="11"/>
        <v>509</v>
      </c>
      <c r="D91">
        <v>3.6</v>
      </c>
    </row>
    <row r="92" spans="1:4" x14ac:dyDescent="0.2">
      <c r="A92" s="6">
        <f t="shared" si="10"/>
        <v>45309</v>
      </c>
      <c r="B92" s="6">
        <f t="shared" si="9"/>
        <v>45307</v>
      </c>
      <c r="C92" s="7">
        <f t="shared" si="11"/>
        <v>508</v>
      </c>
      <c r="D92">
        <v>3.55</v>
      </c>
    </row>
    <row r="93" spans="1:4" x14ac:dyDescent="0.2">
      <c r="A93" s="6">
        <f t="shared" si="10"/>
        <v>45302</v>
      </c>
      <c r="B93" s="6">
        <f t="shared" si="9"/>
        <v>45300</v>
      </c>
      <c r="C93" s="7">
        <f t="shared" si="11"/>
        <v>507</v>
      </c>
      <c r="D93">
        <v>3.45</v>
      </c>
    </row>
    <row r="94" spans="1:4" x14ac:dyDescent="0.2">
      <c r="A94" s="6">
        <f t="shared" si="10"/>
        <v>45295</v>
      </c>
      <c r="B94" s="6">
        <f t="shared" si="9"/>
        <v>45293</v>
      </c>
      <c r="C94" s="7">
        <f t="shared" si="11"/>
        <v>506</v>
      </c>
      <c r="D94">
        <v>3.5</v>
      </c>
    </row>
    <row r="95" spans="1:4" x14ac:dyDescent="0.2">
      <c r="A95" s="6">
        <f t="shared" si="10"/>
        <v>45288</v>
      </c>
      <c r="B95" s="6">
        <f t="shared" si="9"/>
        <v>45286</v>
      </c>
      <c r="C95" s="7">
        <f t="shared" si="11"/>
        <v>505</v>
      </c>
      <c r="D95">
        <v>3.3</v>
      </c>
    </row>
    <row r="96" spans="1:4" x14ac:dyDescent="0.2">
      <c r="A96" s="6">
        <f t="shared" si="10"/>
        <v>45281</v>
      </c>
      <c r="B96" s="6">
        <f t="shared" si="9"/>
        <v>45279</v>
      </c>
      <c r="C96" s="7">
        <f t="shared" si="11"/>
        <v>504</v>
      </c>
      <c r="D96">
        <v>3.3</v>
      </c>
    </row>
    <row r="97" spans="1:4" x14ac:dyDescent="0.2">
      <c r="A97" s="6">
        <f t="shared" si="10"/>
        <v>45274</v>
      </c>
      <c r="B97" s="6">
        <f t="shared" si="9"/>
        <v>45272</v>
      </c>
      <c r="C97" s="7">
        <f t="shared" si="11"/>
        <v>503</v>
      </c>
      <c r="D97">
        <v>3.3</v>
      </c>
    </row>
    <row r="98" spans="1:4" x14ac:dyDescent="0.2">
      <c r="A98" s="6">
        <f t="shared" si="10"/>
        <v>45267</v>
      </c>
      <c r="B98" s="6">
        <f t="shared" si="9"/>
        <v>45265</v>
      </c>
      <c r="C98" s="7">
        <f t="shared" si="11"/>
        <v>502</v>
      </c>
      <c r="D98">
        <v>3.3</v>
      </c>
    </row>
    <row r="99" spans="1:4" x14ac:dyDescent="0.2">
      <c r="A99" s="6">
        <f t="shared" si="10"/>
        <v>45260</v>
      </c>
      <c r="B99" s="6">
        <f t="shared" si="9"/>
        <v>45258</v>
      </c>
      <c r="C99" s="7">
        <f t="shared" si="11"/>
        <v>501</v>
      </c>
      <c r="D99">
        <v>3.3</v>
      </c>
    </row>
    <row r="100" spans="1:4" x14ac:dyDescent="0.2">
      <c r="A100" s="6">
        <f t="shared" si="10"/>
        <v>45253</v>
      </c>
      <c r="B100" s="6">
        <f t="shared" si="9"/>
        <v>45251</v>
      </c>
      <c r="C100" s="7">
        <f t="shared" si="11"/>
        <v>500</v>
      </c>
      <c r="D100">
        <v>3.3</v>
      </c>
    </row>
    <row r="101" spans="1:4" x14ac:dyDescent="0.2">
      <c r="A101" s="6">
        <f t="shared" si="10"/>
        <v>45246</v>
      </c>
      <c r="B101" s="6">
        <f t="shared" si="9"/>
        <v>45244</v>
      </c>
      <c r="C101" s="7">
        <f t="shared" si="11"/>
        <v>499</v>
      </c>
      <c r="D101">
        <v>3.3</v>
      </c>
    </row>
    <row r="102" spans="1:4" x14ac:dyDescent="0.2">
      <c r="A102" s="6">
        <f t="shared" si="10"/>
        <v>45239</v>
      </c>
      <c r="B102" s="6">
        <f t="shared" si="9"/>
        <v>45237</v>
      </c>
      <c r="C102" s="7">
        <f t="shared" si="11"/>
        <v>498</v>
      </c>
      <c r="D102">
        <v>3.3</v>
      </c>
    </row>
    <row r="103" spans="1:4" x14ac:dyDescent="0.2">
      <c r="A103" s="6">
        <f t="shared" si="10"/>
        <v>45232</v>
      </c>
      <c r="B103" s="6">
        <f t="shared" si="9"/>
        <v>45230</v>
      </c>
      <c r="C103" s="7">
        <f t="shared" si="11"/>
        <v>497</v>
      </c>
      <c r="D103">
        <v>3.3</v>
      </c>
    </row>
    <row r="104" spans="1:4" x14ac:dyDescent="0.2">
      <c r="A104" s="6">
        <f t="shared" si="10"/>
        <v>45225</v>
      </c>
      <c r="B104" s="6">
        <f t="shared" si="9"/>
        <v>45223</v>
      </c>
      <c r="C104" s="7">
        <f t="shared" si="11"/>
        <v>496</v>
      </c>
      <c r="D104">
        <v>3.25</v>
      </c>
    </row>
    <row r="105" spans="1:4" x14ac:dyDescent="0.2">
      <c r="A105" s="6">
        <f t="shared" si="10"/>
        <v>45218</v>
      </c>
      <c r="B105" s="6">
        <f t="shared" si="9"/>
        <v>45216</v>
      </c>
      <c r="C105" s="7">
        <f t="shared" si="11"/>
        <v>495</v>
      </c>
      <c r="D105">
        <v>3.3</v>
      </c>
    </row>
    <row r="106" spans="1:4" x14ac:dyDescent="0.2">
      <c r="A106" s="6">
        <f t="shared" si="10"/>
        <v>45211</v>
      </c>
      <c r="B106" s="6">
        <f t="shared" si="9"/>
        <v>45209</v>
      </c>
      <c r="C106" s="7">
        <f t="shared" si="11"/>
        <v>494</v>
      </c>
      <c r="D106">
        <v>3.25</v>
      </c>
    </row>
    <row r="107" spans="1:4" x14ac:dyDescent="0.2">
      <c r="A107" s="6">
        <f t="shared" si="10"/>
        <v>45204</v>
      </c>
      <c r="B107" s="6">
        <f t="shared" si="9"/>
        <v>45202</v>
      </c>
      <c r="C107" s="7">
        <f t="shared" si="11"/>
        <v>493</v>
      </c>
      <c r="D107">
        <v>3.1</v>
      </c>
    </row>
    <row r="108" spans="1:4" x14ac:dyDescent="0.2">
      <c r="A108" s="6">
        <f t="shared" si="10"/>
        <v>45197</v>
      </c>
      <c r="B108" s="6">
        <f t="shared" si="9"/>
        <v>45195</v>
      </c>
      <c r="C108" s="7">
        <f t="shared" si="11"/>
        <v>492</v>
      </c>
      <c r="D108">
        <v>3</v>
      </c>
    </row>
    <row r="109" spans="1:4" x14ac:dyDescent="0.2">
      <c r="A109" s="6">
        <f t="shared" si="10"/>
        <v>45190</v>
      </c>
      <c r="B109" s="6">
        <f t="shared" si="9"/>
        <v>45188</v>
      </c>
      <c r="C109" s="7">
        <f t="shared" si="11"/>
        <v>491</v>
      </c>
      <c r="D109">
        <v>3</v>
      </c>
    </row>
    <row r="110" spans="1:4" x14ac:dyDescent="0.2">
      <c r="A110" s="6">
        <f t="shared" si="10"/>
        <v>45183</v>
      </c>
      <c r="B110" s="6">
        <f t="shared" si="9"/>
        <v>45181</v>
      </c>
      <c r="C110" s="4"/>
      <c r="D110" s="4">
        <f>AVERAGE(D111,D109)</f>
        <v>2.9</v>
      </c>
    </row>
    <row r="111" spans="1:4" x14ac:dyDescent="0.2">
      <c r="A111" s="6">
        <f t="shared" si="10"/>
        <v>45176</v>
      </c>
      <c r="B111" s="6">
        <f t="shared" si="9"/>
        <v>45174</v>
      </c>
      <c r="C111" s="7">
        <f>C109-1</f>
        <v>490</v>
      </c>
      <c r="D111">
        <v>2.8</v>
      </c>
    </row>
    <row r="112" spans="1:4" x14ac:dyDescent="0.2">
      <c r="A112" s="6">
        <f t="shared" si="10"/>
        <v>45169</v>
      </c>
      <c r="B112" s="6">
        <f t="shared" si="9"/>
        <v>45167</v>
      </c>
      <c r="C112" s="7">
        <f t="shared" ref="C112:C141" si="12">C111-1</f>
        <v>489</v>
      </c>
      <c r="D112">
        <v>2.9</v>
      </c>
    </row>
    <row r="113" spans="1:4" x14ac:dyDescent="0.2">
      <c r="A113" s="6">
        <f t="shared" si="10"/>
        <v>45162</v>
      </c>
      <c r="B113" s="6">
        <f t="shared" si="9"/>
        <v>45160</v>
      </c>
      <c r="C113" s="7">
        <f t="shared" si="12"/>
        <v>488</v>
      </c>
      <c r="D113">
        <v>3.1</v>
      </c>
    </row>
    <row r="114" spans="1:4" x14ac:dyDescent="0.2">
      <c r="A114" s="6">
        <f t="shared" si="10"/>
        <v>45155</v>
      </c>
      <c r="B114" s="6">
        <f t="shared" si="9"/>
        <v>45153</v>
      </c>
      <c r="C114" s="7">
        <f t="shared" si="12"/>
        <v>487</v>
      </c>
      <c r="D114">
        <v>3.3</v>
      </c>
    </row>
    <row r="115" spans="1:4" x14ac:dyDescent="0.2">
      <c r="A115" s="6">
        <f t="shared" si="10"/>
        <v>45148</v>
      </c>
      <c r="B115" s="6">
        <f t="shared" si="9"/>
        <v>45146</v>
      </c>
      <c r="C115" s="7">
        <f t="shared" si="12"/>
        <v>486</v>
      </c>
      <c r="D115">
        <v>3.55</v>
      </c>
    </row>
    <row r="116" spans="1:4" x14ac:dyDescent="0.2">
      <c r="A116" s="6">
        <f t="shared" si="10"/>
        <v>45141</v>
      </c>
      <c r="B116" s="6">
        <f t="shared" si="9"/>
        <v>45139</v>
      </c>
      <c r="C116" s="7">
        <f t="shared" si="12"/>
        <v>485</v>
      </c>
      <c r="D116">
        <v>3.55</v>
      </c>
    </row>
    <row r="117" spans="1:4" x14ac:dyDescent="0.2">
      <c r="A117" s="6">
        <f t="shared" si="10"/>
        <v>45134</v>
      </c>
      <c r="B117" s="6">
        <f t="shared" si="9"/>
        <v>45132</v>
      </c>
      <c r="C117" s="7">
        <f t="shared" si="12"/>
        <v>484</v>
      </c>
      <c r="D117">
        <v>3.55</v>
      </c>
    </row>
    <row r="118" spans="1:4" x14ac:dyDescent="0.2">
      <c r="A118" s="6">
        <f t="shared" si="10"/>
        <v>45127</v>
      </c>
      <c r="B118" s="6">
        <f t="shared" si="9"/>
        <v>45125</v>
      </c>
      <c r="C118" s="7">
        <f t="shared" si="12"/>
        <v>483</v>
      </c>
      <c r="D118">
        <v>3.5</v>
      </c>
    </row>
    <row r="119" spans="1:4" x14ac:dyDescent="0.2">
      <c r="A119" s="6">
        <f t="shared" si="10"/>
        <v>45120</v>
      </c>
      <c r="B119" s="6">
        <f t="shared" si="9"/>
        <v>45118</v>
      </c>
      <c r="C119" s="7">
        <f t="shared" si="12"/>
        <v>482</v>
      </c>
      <c r="D119">
        <v>3.5</v>
      </c>
    </row>
    <row r="120" spans="1:4" x14ac:dyDescent="0.2">
      <c r="A120" s="6">
        <f t="shared" si="10"/>
        <v>45113</v>
      </c>
      <c r="B120" s="6">
        <f t="shared" si="9"/>
        <v>45111</v>
      </c>
      <c r="C120" s="7">
        <f t="shared" si="12"/>
        <v>481</v>
      </c>
      <c r="D120">
        <v>3.5</v>
      </c>
    </row>
    <row r="121" spans="1:4" x14ac:dyDescent="0.2">
      <c r="A121" s="6">
        <f t="shared" si="10"/>
        <v>45106</v>
      </c>
      <c r="B121" s="6">
        <f t="shared" si="9"/>
        <v>45104</v>
      </c>
      <c r="C121" s="7">
        <f t="shared" si="12"/>
        <v>480</v>
      </c>
      <c r="D121">
        <v>3.3</v>
      </c>
    </row>
    <row r="122" spans="1:4" x14ac:dyDescent="0.2">
      <c r="A122" s="6">
        <f t="shared" si="10"/>
        <v>45099</v>
      </c>
      <c r="B122" s="6">
        <f t="shared" si="9"/>
        <v>45097</v>
      </c>
      <c r="C122" s="7">
        <f t="shared" si="12"/>
        <v>479</v>
      </c>
      <c r="D122">
        <v>3.25</v>
      </c>
    </row>
    <row r="123" spans="1:4" x14ac:dyDescent="0.2">
      <c r="A123" s="6">
        <f t="shared" si="10"/>
        <v>45092</v>
      </c>
      <c r="B123" s="6">
        <f t="shared" si="9"/>
        <v>45090</v>
      </c>
      <c r="C123" s="7">
        <f t="shared" si="12"/>
        <v>478</v>
      </c>
      <c r="D123">
        <v>3.15</v>
      </c>
    </row>
    <row r="124" spans="1:4" x14ac:dyDescent="0.2">
      <c r="A124" s="6">
        <f t="shared" si="10"/>
        <v>45085</v>
      </c>
      <c r="B124" s="6">
        <f t="shared" si="9"/>
        <v>45083</v>
      </c>
      <c r="C124" s="7">
        <f t="shared" si="12"/>
        <v>477</v>
      </c>
      <c r="D124">
        <v>3</v>
      </c>
    </row>
    <row r="125" spans="1:4" x14ac:dyDescent="0.2">
      <c r="A125" s="6">
        <f t="shared" si="10"/>
        <v>45078</v>
      </c>
      <c r="B125" s="6">
        <f t="shared" si="9"/>
        <v>45076</v>
      </c>
      <c r="C125" s="7">
        <f t="shared" si="12"/>
        <v>476</v>
      </c>
      <c r="D125">
        <v>3.2</v>
      </c>
    </row>
    <row r="126" spans="1:4" x14ac:dyDescent="0.2">
      <c r="A126" s="6">
        <f t="shared" si="10"/>
        <v>45071</v>
      </c>
      <c r="B126" s="6">
        <f t="shared" si="9"/>
        <v>45069</v>
      </c>
      <c r="C126" s="7">
        <f t="shared" si="12"/>
        <v>475</v>
      </c>
      <c r="D126">
        <v>3.35</v>
      </c>
    </row>
    <row r="127" spans="1:4" x14ac:dyDescent="0.2">
      <c r="A127" s="6">
        <f t="shared" si="10"/>
        <v>45064</v>
      </c>
      <c r="B127" s="6">
        <f t="shared" si="9"/>
        <v>45062</v>
      </c>
      <c r="C127" s="7">
        <f t="shared" si="12"/>
        <v>474</v>
      </c>
      <c r="D127">
        <v>3.4</v>
      </c>
    </row>
    <row r="128" spans="1:4" x14ac:dyDescent="0.2">
      <c r="A128" s="6">
        <f t="shared" si="10"/>
        <v>45057</v>
      </c>
      <c r="B128" s="6">
        <f t="shared" si="9"/>
        <v>45055</v>
      </c>
      <c r="C128" s="7">
        <f t="shared" si="12"/>
        <v>473</v>
      </c>
      <c r="D128">
        <v>3.4</v>
      </c>
    </row>
    <row r="129" spans="1:4" x14ac:dyDescent="0.2">
      <c r="A129" s="6">
        <f t="shared" si="10"/>
        <v>45050</v>
      </c>
      <c r="B129" s="6">
        <f t="shared" si="9"/>
        <v>45048</v>
      </c>
      <c r="C129" s="7">
        <f t="shared" si="12"/>
        <v>472</v>
      </c>
      <c r="D129">
        <v>3.5</v>
      </c>
    </row>
    <row r="130" spans="1:4" x14ac:dyDescent="0.2">
      <c r="A130" s="6">
        <f t="shared" si="10"/>
        <v>45043</v>
      </c>
      <c r="B130" s="6">
        <f t="shared" si="9"/>
        <v>45041</v>
      </c>
      <c r="C130" s="7">
        <f t="shared" si="12"/>
        <v>471</v>
      </c>
      <c r="D130">
        <v>3.5</v>
      </c>
    </row>
    <row r="131" spans="1:4" x14ac:dyDescent="0.2">
      <c r="A131" s="6">
        <f t="shared" si="10"/>
        <v>45036</v>
      </c>
      <c r="B131" s="6">
        <f t="shared" si="9"/>
        <v>45034</v>
      </c>
      <c r="C131" s="7">
        <f t="shared" si="12"/>
        <v>470</v>
      </c>
      <c r="D131">
        <v>3.65</v>
      </c>
    </row>
    <row r="132" spans="1:4" x14ac:dyDescent="0.2">
      <c r="A132" s="6">
        <f t="shared" si="10"/>
        <v>45029</v>
      </c>
      <c r="B132" s="6">
        <f t="shared" si="9"/>
        <v>45027</v>
      </c>
      <c r="C132" s="7">
        <f t="shared" si="12"/>
        <v>469</v>
      </c>
      <c r="D132">
        <v>3.6</v>
      </c>
    </row>
    <row r="133" spans="1:4" x14ac:dyDescent="0.2">
      <c r="A133" s="6">
        <f t="shared" si="10"/>
        <v>45022</v>
      </c>
      <c r="B133" s="6">
        <f t="shared" si="9"/>
        <v>45020</v>
      </c>
      <c r="C133" s="7">
        <f t="shared" si="12"/>
        <v>468</v>
      </c>
      <c r="D133">
        <v>3.6</v>
      </c>
    </row>
    <row r="134" spans="1:4" x14ac:dyDescent="0.2">
      <c r="A134" s="6">
        <f t="shared" si="10"/>
        <v>45015</v>
      </c>
      <c r="B134" s="6">
        <f t="shared" si="9"/>
        <v>45013</v>
      </c>
      <c r="C134" s="7">
        <f t="shared" si="12"/>
        <v>467</v>
      </c>
      <c r="D134">
        <v>3.6</v>
      </c>
    </row>
    <row r="135" spans="1:4" x14ac:dyDescent="0.2">
      <c r="A135" s="6">
        <f t="shared" si="10"/>
        <v>45008</v>
      </c>
      <c r="B135" s="6">
        <f t="shared" si="9"/>
        <v>45006</v>
      </c>
      <c r="C135" s="7">
        <f t="shared" si="12"/>
        <v>466</v>
      </c>
      <c r="D135">
        <v>3.5</v>
      </c>
    </row>
    <row r="136" spans="1:4" x14ac:dyDescent="0.2">
      <c r="A136" s="6">
        <f t="shared" si="10"/>
        <v>45001</v>
      </c>
      <c r="B136" s="6">
        <f t="shared" si="9"/>
        <v>44999</v>
      </c>
      <c r="C136" s="7">
        <f t="shared" si="12"/>
        <v>465</v>
      </c>
      <c r="D136">
        <v>3.4</v>
      </c>
    </row>
    <row r="137" spans="1:4" x14ac:dyDescent="0.2">
      <c r="A137" s="6">
        <f t="shared" si="10"/>
        <v>44994</v>
      </c>
      <c r="B137" s="6">
        <f t="shared" si="9"/>
        <v>44992</v>
      </c>
      <c r="C137" s="7">
        <f t="shared" si="12"/>
        <v>464</v>
      </c>
      <c r="D137">
        <v>3.2</v>
      </c>
    </row>
    <row r="138" spans="1:4" x14ac:dyDescent="0.2">
      <c r="A138" s="6">
        <f t="shared" si="10"/>
        <v>44987</v>
      </c>
      <c r="B138" s="6">
        <f t="shared" si="9"/>
        <v>44985</v>
      </c>
      <c r="C138" s="7">
        <f t="shared" si="12"/>
        <v>463</v>
      </c>
      <c r="D138">
        <v>3.2</v>
      </c>
    </row>
    <row r="139" spans="1:4" x14ac:dyDescent="0.2">
      <c r="A139" s="6">
        <f t="shared" si="10"/>
        <v>44980</v>
      </c>
      <c r="B139" s="6">
        <f t="shared" si="9"/>
        <v>44978</v>
      </c>
      <c r="C139" s="7">
        <f t="shared" si="12"/>
        <v>462</v>
      </c>
      <c r="D139">
        <v>3.55</v>
      </c>
    </row>
    <row r="140" spans="1:4" x14ac:dyDescent="0.2">
      <c r="A140" s="6">
        <f t="shared" si="10"/>
        <v>44973</v>
      </c>
      <c r="B140" s="6">
        <f t="shared" si="9"/>
        <v>44971</v>
      </c>
      <c r="C140" s="7">
        <f t="shared" si="12"/>
        <v>461</v>
      </c>
      <c r="D140">
        <v>3.6</v>
      </c>
    </row>
    <row r="141" spans="1:4" x14ac:dyDescent="0.2">
      <c r="A141" s="6">
        <f t="shared" si="10"/>
        <v>44966</v>
      </c>
      <c r="B141" s="6">
        <f t="shared" ref="B141:B199" si="13">B140-7</f>
        <v>44964</v>
      </c>
      <c r="C141" s="7">
        <f t="shared" si="12"/>
        <v>460</v>
      </c>
      <c r="D141">
        <v>3.5</v>
      </c>
    </row>
    <row r="142" spans="1:4" x14ac:dyDescent="0.2">
      <c r="A142" s="6">
        <f t="shared" si="10"/>
        <v>44959</v>
      </c>
      <c r="B142" s="6">
        <f t="shared" si="13"/>
        <v>44957</v>
      </c>
      <c r="C142" s="7">
        <f t="shared" ref="C142:C154" si="14">C141-1</f>
        <v>459</v>
      </c>
      <c r="D142">
        <v>3.45</v>
      </c>
    </row>
    <row r="143" spans="1:4" x14ac:dyDescent="0.2">
      <c r="A143" s="6">
        <f t="shared" si="10"/>
        <v>44952</v>
      </c>
      <c r="B143" s="6">
        <f t="shared" si="13"/>
        <v>44950</v>
      </c>
      <c r="C143" s="7">
        <f t="shared" si="14"/>
        <v>458</v>
      </c>
      <c r="D143">
        <v>3.35</v>
      </c>
    </row>
    <row r="144" spans="1:4" x14ac:dyDescent="0.2">
      <c r="A144" s="6">
        <f t="shared" si="10"/>
        <v>44945</v>
      </c>
      <c r="B144" s="6">
        <f t="shared" si="13"/>
        <v>44943</v>
      </c>
      <c r="C144" s="7">
        <f t="shared" si="14"/>
        <v>457</v>
      </c>
      <c r="D144">
        <v>3.35</v>
      </c>
    </row>
    <row r="145" spans="1:4" x14ac:dyDescent="0.2">
      <c r="A145" s="6">
        <f t="shared" si="10"/>
        <v>44938</v>
      </c>
      <c r="B145" s="6">
        <f t="shared" si="13"/>
        <v>44936</v>
      </c>
      <c r="C145" s="7">
        <f t="shared" si="14"/>
        <v>456</v>
      </c>
      <c r="D145">
        <v>3.3</v>
      </c>
    </row>
    <row r="146" spans="1:4" x14ac:dyDescent="0.2">
      <c r="A146" s="6">
        <f t="shared" si="10"/>
        <v>44931</v>
      </c>
      <c r="B146" s="6">
        <f t="shared" si="13"/>
        <v>44929</v>
      </c>
      <c r="C146" s="7">
        <f t="shared" si="14"/>
        <v>455</v>
      </c>
      <c r="D146">
        <v>3.12</v>
      </c>
    </row>
    <row r="147" spans="1:4" x14ac:dyDescent="0.2">
      <c r="A147" s="6">
        <f t="shared" si="10"/>
        <v>44924</v>
      </c>
      <c r="B147" s="6">
        <f t="shared" si="13"/>
        <v>44922</v>
      </c>
      <c r="C147" s="7">
        <f t="shared" si="14"/>
        <v>454</v>
      </c>
      <c r="D147">
        <v>3.1</v>
      </c>
    </row>
    <row r="148" spans="1:4" x14ac:dyDescent="0.2">
      <c r="A148" s="6">
        <f t="shared" si="10"/>
        <v>44917</v>
      </c>
      <c r="B148" s="6">
        <f t="shared" si="13"/>
        <v>44915</v>
      </c>
      <c r="C148" s="7">
        <f t="shared" si="14"/>
        <v>453</v>
      </c>
      <c r="D148">
        <v>3.1</v>
      </c>
    </row>
    <row r="149" spans="1:4" x14ac:dyDescent="0.2">
      <c r="A149" s="6">
        <f t="shared" ref="A149:A212" si="15">B149+2</f>
        <v>44910</v>
      </c>
      <c r="B149" s="6">
        <f t="shared" si="13"/>
        <v>44908</v>
      </c>
      <c r="C149" s="7">
        <f t="shared" si="14"/>
        <v>452</v>
      </c>
      <c r="D149">
        <v>3.1</v>
      </c>
    </row>
    <row r="150" spans="1:4" x14ac:dyDescent="0.2">
      <c r="A150" s="6">
        <f t="shared" si="15"/>
        <v>44903</v>
      </c>
      <c r="B150" s="6">
        <f t="shared" si="13"/>
        <v>44901</v>
      </c>
      <c r="C150" s="7">
        <f t="shared" si="14"/>
        <v>451</v>
      </c>
      <c r="D150">
        <v>3.4</v>
      </c>
    </row>
    <row r="151" spans="1:4" x14ac:dyDescent="0.2">
      <c r="A151" s="6">
        <f t="shared" si="15"/>
        <v>44896</v>
      </c>
      <c r="B151" s="6">
        <f t="shared" si="13"/>
        <v>44894</v>
      </c>
      <c r="C151" s="7">
        <f t="shared" si="14"/>
        <v>450</v>
      </c>
      <c r="D151">
        <v>3.45</v>
      </c>
    </row>
    <row r="152" spans="1:4" x14ac:dyDescent="0.2">
      <c r="A152" s="6">
        <f t="shared" si="15"/>
        <v>44889</v>
      </c>
      <c r="B152" s="6">
        <f t="shared" si="13"/>
        <v>44887</v>
      </c>
      <c r="C152" s="7">
        <f t="shared" si="14"/>
        <v>449</v>
      </c>
      <c r="D152">
        <v>3.4</v>
      </c>
    </row>
    <row r="153" spans="1:4" x14ac:dyDescent="0.2">
      <c r="A153" s="6">
        <f t="shared" si="15"/>
        <v>44882</v>
      </c>
      <c r="B153" s="6">
        <f t="shared" si="13"/>
        <v>44880</v>
      </c>
      <c r="C153" s="7">
        <f t="shared" si="14"/>
        <v>448</v>
      </c>
      <c r="D153">
        <v>3.35</v>
      </c>
    </row>
    <row r="154" spans="1:4" x14ac:dyDescent="0.2">
      <c r="A154" s="6">
        <f t="shared" si="15"/>
        <v>44875</v>
      </c>
      <c r="B154" s="6">
        <f t="shared" si="13"/>
        <v>44873</v>
      </c>
      <c r="C154" s="7">
        <f t="shared" si="14"/>
        <v>447</v>
      </c>
      <c r="D154">
        <v>3.25</v>
      </c>
    </row>
    <row r="155" spans="1:4" x14ac:dyDescent="0.2">
      <c r="A155" s="6">
        <f t="shared" si="15"/>
        <v>44868</v>
      </c>
      <c r="B155" s="6">
        <f t="shared" si="13"/>
        <v>44866</v>
      </c>
      <c r="C155" s="4"/>
      <c r="D155" s="4">
        <f>AVERAGE(D156,D154)</f>
        <v>3.2</v>
      </c>
    </row>
    <row r="156" spans="1:4" x14ac:dyDescent="0.2">
      <c r="A156" s="6">
        <f t="shared" si="15"/>
        <v>44861</v>
      </c>
      <c r="B156" s="6">
        <f t="shared" si="13"/>
        <v>44859</v>
      </c>
      <c r="C156" s="7">
        <f>C154-1</f>
        <v>446</v>
      </c>
      <c r="D156">
        <v>3.15</v>
      </c>
    </row>
    <row r="157" spans="1:4" x14ac:dyDescent="0.2">
      <c r="A157" s="6">
        <f t="shared" si="15"/>
        <v>44854</v>
      </c>
      <c r="B157" s="6">
        <f t="shared" si="13"/>
        <v>44852</v>
      </c>
      <c r="C157" s="7">
        <f>C156-1</f>
        <v>445</v>
      </c>
      <c r="D157">
        <v>3.3</v>
      </c>
    </row>
    <row r="158" spans="1:4" x14ac:dyDescent="0.2">
      <c r="A158" s="6">
        <f t="shared" si="15"/>
        <v>44847</v>
      </c>
      <c r="B158" s="6">
        <f t="shared" si="13"/>
        <v>44845</v>
      </c>
      <c r="C158" s="4"/>
      <c r="D158" s="4">
        <f>AVERAGE(D159,D157)</f>
        <v>3.3499999999999996</v>
      </c>
    </row>
    <row r="159" spans="1:4" x14ac:dyDescent="0.2">
      <c r="A159" s="6">
        <f t="shared" si="15"/>
        <v>44840</v>
      </c>
      <c r="B159" s="6">
        <f t="shared" si="13"/>
        <v>44838</v>
      </c>
      <c r="C159" s="7">
        <f>C157-1</f>
        <v>444</v>
      </c>
      <c r="D159">
        <v>3.4</v>
      </c>
    </row>
    <row r="160" spans="1:4" x14ac:dyDescent="0.2">
      <c r="A160" s="6">
        <f t="shared" si="15"/>
        <v>44833</v>
      </c>
      <c r="B160" s="6">
        <f t="shared" si="13"/>
        <v>44831</v>
      </c>
      <c r="C160" s="7">
        <f>C159-1</f>
        <v>443</v>
      </c>
      <c r="D160">
        <v>3.4</v>
      </c>
    </row>
    <row r="161" spans="1:4" x14ac:dyDescent="0.2">
      <c r="A161" s="6">
        <f t="shared" si="15"/>
        <v>44826</v>
      </c>
      <c r="B161" s="6">
        <f t="shared" si="13"/>
        <v>44824</v>
      </c>
      <c r="C161" s="4"/>
      <c r="D161" s="4">
        <f>AVERAGE(D162,D160)</f>
        <v>3.5</v>
      </c>
    </row>
    <row r="162" spans="1:4" x14ac:dyDescent="0.2">
      <c r="A162" s="6">
        <f t="shared" si="15"/>
        <v>44819</v>
      </c>
      <c r="B162" s="6">
        <f t="shared" si="13"/>
        <v>44817</v>
      </c>
      <c r="C162" s="7">
        <f>C160-1</f>
        <v>442</v>
      </c>
      <c r="D162">
        <v>3.6</v>
      </c>
    </row>
    <row r="163" spans="1:4" x14ac:dyDescent="0.2">
      <c r="A163" s="6">
        <f t="shared" si="15"/>
        <v>44812</v>
      </c>
      <c r="B163" s="6">
        <f t="shared" si="13"/>
        <v>44810</v>
      </c>
      <c r="C163" s="7">
        <f t="shared" ref="C163:C168" si="16">C162-1</f>
        <v>441</v>
      </c>
      <c r="D163">
        <v>3.85</v>
      </c>
    </row>
    <row r="164" spans="1:4" x14ac:dyDescent="0.2">
      <c r="A164" s="6">
        <f t="shared" si="15"/>
        <v>44805</v>
      </c>
      <c r="B164" s="6">
        <f t="shared" si="13"/>
        <v>44803</v>
      </c>
      <c r="C164" s="7">
        <f t="shared" si="16"/>
        <v>440</v>
      </c>
      <c r="D164">
        <v>3.8</v>
      </c>
    </row>
    <row r="165" spans="1:4" x14ac:dyDescent="0.2">
      <c r="A165" s="6">
        <f t="shared" si="15"/>
        <v>44798</v>
      </c>
      <c r="B165" s="6">
        <f t="shared" si="13"/>
        <v>44796</v>
      </c>
      <c r="C165" s="7">
        <f t="shared" si="16"/>
        <v>439</v>
      </c>
      <c r="D165">
        <v>3.7</v>
      </c>
    </row>
    <row r="166" spans="1:4" x14ac:dyDescent="0.2">
      <c r="A166" s="6">
        <f t="shared" si="15"/>
        <v>44791</v>
      </c>
      <c r="B166" s="6">
        <f t="shared" si="13"/>
        <v>44789</v>
      </c>
      <c r="C166" s="7">
        <f t="shared" si="16"/>
        <v>438</v>
      </c>
      <c r="D166">
        <v>3.65</v>
      </c>
    </row>
    <row r="167" spans="1:4" x14ac:dyDescent="0.2">
      <c r="A167" s="6">
        <f t="shared" si="15"/>
        <v>44784</v>
      </c>
      <c r="B167" s="6">
        <f t="shared" si="13"/>
        <v>44782</v>
      </c>
      <c r="C167" s="7">
        <f t="shared" si="16"/>
        <v>437</v>
      </c>
      <c r="D167">
        <v>3.6</v>
      </c>
    </row>
    <row r="168" spans="1:4" x14ac:dyDescent="0.2">
      <c r="A168" s="6">
        <f t="shared" si="15"/>
        <v>44777</v>
      </c>
      <c r="B168" s="6">
        <f t="shared" si="13"/>
        <v>44775</v>
      </c>
      <c r="C168" s="7">
        <f t="shared" si="16"/>
        <v>436</v>
      </c>
      <c r="D168">
        <v>3.72</v>
      </c>
    </row>
    <row r="169" spans="1:4" x14ac:dyDescent="0.2">
      <c r="A169" s="6">
        <f t="shared" si="15"/>
        <v>44770</v>
      </c>
      <c r="B169" s="6">
        <f t="shared" si="13"/>
        <v>44768</v>
      </c>
      <c r="C169" s="4"/>
      <c r="D169" s="4">
        <f>AVERAGE(D170,D168)</f>
        <v>3.71</v>
      </c>
    </row>
    <row r="170" spans="1:4" x14ac:dyDescent="0.2">
      <c r="A170" s="6">
        <f t="shared" si="15"/>
        <v>44763</v>
      </c>
      <c r="B170" s="6">
        <f t="shared" si="13"/>
        <v>44761</v>
      </c>
      <c r="C170" s="7">
        <f>C168-1</f>
        <v>435</v>
      </c>
      <c r="D170">
        <v>3.7</v>
      </c>
    </row>
    <row r="171" spans="1:4" x14ac:dyDescent="0.2">
      <c r="A171" s="6">
        <f t="shared" si="15"/>
        <v>44756</v>
      </c>
      <c r="B171" s="6">
        <f t="shared" si="13"/>
        <v>44754</v>
      </c>
      <c r="C171" s="7">
        <f t="shared" ref="C171:C176" si="17">C170-1</f>
        <v>434</v>
      </c>
      <c r="D171">
        <v>3.7</v>
      </c>
    </row>
    <row r="172" spans="1:4" x14ac:dyDescent="0.2">
      <c r="A172" s="6">
        <f t="shared" si="15"/>
        <v>44749</v>
      </c>
      <c r="B172" s="6">
        <f t="shared" si="13"/>
        <v>44747</v>
      </c>
      <c r="C172" s="7">
        <f t="shared" si="17"/>
        <v>433</v>
      </c>
      <c r="D172">
        <v>3.8</v>
      </c>
    </row>
    <row r="173" spans="1:4" x14ac:dyDescent="0.2">
      <c r="A173" s="6">
        <f t="shared" si="15"/>
        <v>44742</v>
      </c>
      <c r="B173" s="6">
        <f t="shared" si="13"/>
        <v>44740</v>
      </c>
      <c r="C173" s="7">
        <f t="shared" si="17"/>
        <v>432</v>
      </c>
      <c r="D173">
        <v>3.8</v>
      </c>
    </row>
    <row r="174" spans="1:4" x14ac:dyDescent="0.2">
      <c r="A174" s="6">
        <f t="shared" si="15"/>
        <v>44735</v>
      </c>
      <c r="B174" s="6">
        <f t="shared" si="13"/>
        <v>44733</v>
      </c>
      <c r="C174" s="7">
        <f t="shared" si="17"/>
        <v>431</v>
      </c>
      <c r="D174">
        <v>3.55</v>
      </c>
    </row>
    <row r="175" spans="1:4" x14ac:dyDescent="0.2">
      <c r="A175" s="6">
        <f t="shared" si="15"/>
        <v>44728</v>
      </c>
      <c r="B175" s="6">
        <f t="shared" si="13"/>
        <v>44726</v>
      </c>
      <c r="C175" s="7">
        <f t="shared" si="17"/>
        <v>430</v>
      </c>
      <c r="D175">
        <v>3.5</v>
      </c>
    </row>
    <row r="176" spans="1:4" x14ac:dyDescent="0.2">
      <c r="A176" s="6">
        <f t="shared" si="15"/>
        <v>44721</v>
      </c>
      <c r="B176" s="6">
        <f t="shared" si="13"/>
        <v>44719</v>
      </c>
      <c r="C176" s="7">
        <f t="shared" si="17"/>
        <v>429</v>
      </c>
      <c r="D176">
        <v>3.55</v>
      </c>
    </row>
    <row r="177" spans="1:4" x14ac:dyDescent="0.2">
      <c r="A177" s="6">
        <f t="shared" si="15"/>
        <v>44714</v>
      </c>
      <c r="B177" s="6">
        <f t="shared" si="13"/>
        <v>44712</v>
      </c>
      <c r="C177" s="4"/>
      <c r="D177" s="4">
        <f>AVERAGE(D178,D176)</f>
        <v>3.5750000000000002</v>
      </c>
    </row>
    <row r="178" spans="1:4" x14ac:dyDescent="0.2">
      <c r="A178" s="6">
        <f t="shared" si="15"/>
        <v>44707</v>
      </c>
      <c r="B178" s="6">
        <f t="shared" si="13"/>
        <v>44705</v>
      </c>
      <c r="C178" s="7">
        <f>C176-1</f>
        <v>428</v>
      </c>
      <c r="D178">
        <v>3.6</v>
      </c>
    </row>
    <row r="179" spans="1:4" x14ac:dyDescent="0.2">
      <c r="A179" s="6">
        <f t="shared" si="15"/>
        <v>44700</v>
      </c>
      <c r="B179" s="6">
        <f t="shared" si="13"/>
        <v>44698</v>
      </c>
      <c r="C179" s="7">
        <f t="shared" ref="C179:C196" si="18">C178-1</f>
        <v>427</v>
      </c>
      <c r="D179">
        <v>3.7</v>
      </c>
    </row>
    <row r="180" spans="1:4" x14ac:dyDescent="0.2">
      <c r="A180" s="6">
        <f t="shared" si="15"/>
        <v>44693</v>
      </c>
      <c r="B180" s="6">
        <f t="shared" si="13"/>
        <v>44691</v>
      </c>
      <c r="C180" s="7">
        <f t="shared" si="18"/>
        <v>426</v>
      </c>
      <c r="D180">
        <v>3.87</v>
      </c>
    </row>
    <row r="181" spans="1:4" x14ac:dyDescent="0.2">
      <c r="A181" s="6">
        <f t="shared" si="15"/>
        <v>44686</v>
      </c>
      <c r="B181" s="6">
        <f t="shared" si="13"/>
        <v>44684</v>
      </c>
      <c r="C181" s="7">
        <f t="shared" si="18"/>
        <v>425</v>
      </c>
      <c r="D181">
        <v>3.87</v>
      </c>
    </row>
    <row r="182" spans="1:4" x14ac:dyDescent="0.2">
      <c r="A182" s="6">
        <f t="shared" si="15"/>
        <v>44679</v>
      </c>
      <c r="B182" s="6">
        <f t="shared" si="13"/>
        <v>44677</v>
      </c>
      <c r="C182" s="7">
        <f t="shared" si="18"/>
        <v>424</v>
      </c>
      <c r="D182">
        <v>3.87</v>
      </c>
    </row>
    <row r="183" spans="1:4" x14ac:dyDescent="0.2">
      <c r="A183" s="6">
        <f t="shared" si="15"/>
        <v>44672</v>
      </c>
      <c r="B183" s="6">
        <f t="shared" si="13"/>
        <v>44670</v>
      </c>
      <c r="C183" s="7">
        <f t="shared" si="18"/>
        <v>423</v>
      </c>
      <c r="D183">
        <v>3.8</v>
      </c>
    </row>
    <row r="184" spans="1:4" x14ac:dyDescent="0.2">
      <c r="A184" s="6">
        <f t="shared" si="15"/>
        <v>44665</v>
      </c>
      <c r="B184" s="6">
        <f t="shared" si="13"/>
        <v>44663</v>
      </c>
      <c r="C184" s="7">
        <f t="shared" si="18"/>
        <v>422</v>
      </c>
      <c r="D184">
        <v>3.87</v>
      </c>
    </row>
    <row r="185" spans="1:4" x14ac:dyDescent="0.2">
      <c r="A185" s="6">
        <f t="shared" si="15"/>
        <v>44658</v>
      </c>
      <c r="B185" s="6">
        <f t="shared" si="13"/>
        <v>44656</v>
      </c>
      <c r="C185" s="7">
        <f t="shared" si="18"/>
        <v>421</v>
      </c>
      <c r="D185">
        <v>3.9</v>
      </c>
    </row>
    <row r="186" spans="1:4" x14ac:dyDescent="0.2">
      <c r="A186" s="6">
        <f t="shared" si="15"/>
        <v>44651</v>
      </c>
      <c r="B186" s="6">
        <f t="shared" si="13"/>
        <v>44649</v>
      </c>
      <c r="C186" s="7">
        <f t="shared" si="18"/>
        <v>420</v>
      </c>
      <c r="D186">
        <v>3.7</v>
      </c>
    </row>
    <row r="187" spans="1:4" x14ac:dyDescent="0.2">
      <c r="A187" s="6">
        <f t="shared" si="15"/>
        <v>44644</v>
      </c>
      <c r="B187" s="6">
        <f t="shared" si="13"/>
        <v>44642</v>
      </c>
      <c r="C187" s="7">
        <f t="shared" si="18"/>
        <v>419</v>
      </c>
      <c r="D187">
        <v>3.7</v>
      </c>
    </row>
    <row r="188" spans="1:4" x14ac:dyDescent="0.2">
      <c r="A188" s="6">
        <f t="shared" si="15"/>
        <v>44637</v>
      </c>
      <c r="B188" s="6">
        <f t="shared" si="13"/>
        <v>44635</v>
      </c>
      <c r="C188" s="7">
        <f t="shared" si="18"/>
        <v>418</v>
      </c>
      <c r="D188">
        <v>3.3</v>
      </c>
    </row>
    <row r="189" spans="1:4" x14ac:dyDescent="0.2">
      <c r="A189" s="6">
        <f t="shared" si="15"/>
        <v>44630</v>
      </c>
      <c r="B189" s="6">
        <f t="shared" si="13"/>
        <v>44628</v>
      </c>
      <c r="C189" s="7">
        <f t="shared" si="18"/>
        <v>417</v>
      </c>
      <c r="D189">
        <v>3.3</v>
      </c>
    </row>
    <row r="190" spans="1:4" x14ac:dyDescent="0.2">
      <c r="A190" s="6">
        <f t="shared" si="15"/>
        <v>44623</v>
      </c>
      <c r="B190" s="6">
        <f t="shared" si="13"/>
        <v>44621</v>
      </c>
      <c r="C190" s="7">
        <f t="shared" si="18"/>
        <v>416</v>
      </c>
      <c r="D190">
        <v>3.6</v>
      </c>
    </row>
    <row r="191" spans="1:4" x14ac:dyDescent="0.2">
      <c r="A191" s="6">
        <f t="shared" si="15"/>
        <v>44616</v>
      </c>
      <c r="B191" s="6">
        <f t="shared" si="13"/>
        <v>44614</v>
      </c>
      <c r="C191" s="7">
        <f t="shared" si="18"/>
        <v>415</v>
      </c>
      <c r="D191">
        <v>3.9</v>
      </c>
    </row>
    <row r="192" spans="1:4" x14ac:dyDescent="0.2">
      <c r="A192" s="6">
        <f t="shared" si="15"/>
        <v>44609</v>
      </c>
      <c r="B192" s="6">
        <f t="shared" si="13"/>
        <v>44607</v>
      </c>
      <c r="C192" s="7">
        <f t="shared" si="18"/>
        <v>414</v>
      </c>
      <c r="D192">
        <v>3.9</v>
      </c>
    </row>
    <row r="193" spans="1:4" x14ac:dyDescent="0.2">
      <c r="A193" s="6">
        <f t="shared" si="15"/>
        <v>44602</v>
      </c>
      <c r="B193" s="6">
        <f t="shared" si="13"/>
        <v>44600</v>
      </c>
      <c r="C193" s="7">
        <f t="shared" si="18"/>
        <v>413</v>
      </c>
      <c r="D193">
        <v>3.85</v>
      </c>
    </row>
    <row r="194" spans="1:4" x14ac:dyDescent="0.2">
      <c r="A194" s="6">
        <f t="shared" si="15"/>
        <v>44595</v>
      </c>
      <c r="B194" s="6">
        <f t="shared" si="13"/>
        <v>44593</v>
      </c>
      <c r="C194" s="7">
        <f t="shared" si="18"/>
        <v>412</v>
      </c>
      <c r="D194">
        <v>3.75</v>
      </c>
    </row>
    <row r="195" spans="1:4" x14ac:dyDescent="0.2">
      <c r="A195" s="6">
        <f t="shared" si="15"/>
        <v>44588</v>
      </c>
      <c r="B195" s="6">
        <f t="shared" si="13"/>
        <v>44586</v>
      </c>
      <c r="C195" s="7">
        <f t="shared" si="18"/>
        <v>411</v>
      </c>
      <c r="D195">
        <v>3.75</v>
      </c>
    </row>
    <row r="196" spans="1:4" x14ac:dyDescent="0.2">
      <c r="A196" s="6">
        <f t="shared" si="15"/>
        <v>44581</v>
      </c>
      <c r="B196" s="6">
        <f t="shared" si="13"/>
        <v>44579</v>
      </c>
      <c r="C196" s="7">
        <f t="shared" si="18"/>
        <v>410</v>
      </c>
      <c r="D196">
        <v>3.75</v>
      </c>
    </row>
    <row r="197" spans="1:4" x14ac:dyDescent="0.2">
      <c r="A197" s="6">
        <f t="shared" si="15"/>
        <v>44574</v>
      </c>
      <c r="B197" s="6">
        <f t="shared" si="13"/>
        <v>44572</v>
      </c>
      <c r="C197" s="4"/>
      <c r="D197" s="4">
        <f>AVERAGE(D198,D196)</f>
        <v>3.75</v>
      </c>
    </row>
    <row r="198" spans="1:4" x14ac:dyDescent="0.2">
      <c r="A198" s="6">
        <f t="shared" si="15"/>
        <v>44567</v>
      </c>
      <c r="B198" s="6">
        <f t="shared" si="13"/>
        <v>44565</v>
      </c>
      <c r="C198" s="7">
        <f>C196-1</f>
        <v>409</v>
      </c>
      <c r="D198">
        <v>3.75</v>
      </c>
    </row>
    <row r="199" spans="1:4" x14ac:dyDescent="0.2">
      <c r="A199" s="6">
        <f t="shared" si="15"/>
        <v>44560</v>
      </c>
      <c r="B199" s="6">
        <f t="shared" si="13"/>
        <v>44558</v>
      </c>
      <c r="C199" s="7">
        <f>C198-1</f>
        <v>408</v>
      </c>
      <c r="D199">
        <v>3.78</v>
      </c>
    </row>
    <row r="200" spans="1:4" x14ac:dyDescent="0.2">
      <c r="A200" s="6">
        <f t="shared" si="15"/>
        <v>44553</v>
      </c>
      <c r="B200" s="6">
        <f t="shared" ref="B200:B242" si="19">B199-7</f>
        <v>44551</v>
      </c>
      <c r="C200" s="7">
        <f t="shared" ref="C200:C201" si="20">C199-1</f>
        <v>407</v>
      </c>
      <c r="D200">
        <v>3.7</v>
      </c>
    </row>
    <row r="201" spans="1:4" x14ac:dyDescent="0.2">
      <c r="A201" s="6">
        <f t="shared" si="15"/>
        <v>44546</v>
      </c>
      <c r="B201" s="6">
        <f t="shared" si="19"/>
        <v>44544</v>
      </c>
      <c r="C201" s="7">
        <f t="shared" si="20"/>
        <v>406</v>
      </c>
      <c r="D201">
        <v>3.9</v>
      </c>
    </row>
    <row r="202" spans="1:4" x14ac:dyDescent="0.2">
      <c r="A202" s="6">
        <f t="shared" si="15"/>
        <v>44539</v>
      </c>
      <c r="B202" s="6">
        <f t="shared" si="19"/>
        <v>44537</v>
      </c>
      <c r="C202" s="7">
        <f t="shared" ref="C202:C207" si="21">C201-1</f>
        <v>405</v>
      </c>
      <c r="D202">
        <v>3.87</v>
      </c>
    </row>
    <row r="203" spans="1:4" x14ac:dyDescent="0.2">
      <c r="A203" s="6">
        <f t="shared" si="15"/>
        <v>44532</v>
      </c>
      <c r="B203" s="6">
        <f t="shared" si="19"/>
        <v>44530</v>
      </c>
      <c r="C203" s="7">
        <f t="shared" si="21"/>
        <v>404</v>
      </c>
      <c r="D203">
        <v>3.8</v>
      </c>
    </row>
    <row r="204" spans="1:4" x14ac:dyDescent="0.2">
      <c r="A204" s="6">
        <f t="shared" si="15"/>
        <v>44525</v>
      </c>
      <c r="B204" s="6">
        <f t="shared" si="19"/>
        <v>44523</v>
      </c>
      <c r="C204" s="7">
        <f t="shared" si="21"/>
        <v>403</v>
      </c>
      <c r="D204">
        <v>3.75</v>
      </c>
    </row>
    <row r="205" spans="1:4" x14ac:dyDescent="0.2">
      <c r="A205" s="6">
        <f t="shared" si="15"/>
        <v>44518</v>
      </c>
      <c r="B205" s="6">
        <f t="shared" si="19"/>
        <v>44516</v>
      </c>
      <c r="C205" s="7">
        <f t="shared" si="21"/>
        <v>402</v>
      </c>
      <c r="D205">
        <v>3.7</v>
      </c>
    </row>
    <row r="206" spans="1:4" x14ac:dyDescent="0.2">
      <c r="A206" s="6">
        <f t="shared" si="15"/>
        <v>44511</v>
      </c>
      <c r="B206" s="6">
        <f t="shared" si="19"/>
        <v>44509</v>
      </c>
      <c r="C206" s="7">
        <f t="shared" si="21"/>
        <v>401</v>
      </c>
      <c r="D206">
        <v>3.7</v>
      </c>
    </row>
    <row r="207" spans="1:4" x14ac:dyDescent="0.2">
      <c r="A207" s="6">
        <f t="shared" si="15"/>
        <v>44504</v>
      </c>
      <c r="B207" s="6">
        <f t="shared" si="19"/>
        <v>44502</v>
      </c>
      <c r="C207" s="7">
        <f t="shared" si="21"/>
        <v>400</v>
      </c>
      <c r="D207">
        <v>3.7</v>
      </c>
    </row>
    <row r="208" spans="1:4" x14ac:dyDescent="0.2">
      <c r="A208" s="6">
        <f t="shared" si="15"/>
        <v>44497</v>
      </c>
      <c r="B208" s="6">
        <f t="shared" si="19"/>
        <v>44495</v>
      </c>
      <c r="C208" s="4"/>
      <c r="D208" s="4">
        <f>AVERAGE(D209,D207)</f>
        <v>3.6</v>
      </c>
    </row>
    <row r="209" spans="1:4" x14ac:dyDescent="0.2">
      <c r="A209" s="6">
        <f t="shared" si="15"/>
        <v>44490</v>
      </c>
      <c r="B209" s="6">
        <f t="shared" si="19"/>
        <v>44488</v>
      </c>
      <c r="C209" s="7">
        <f>C207-1</f>
        <v>399</v>
      </c>
      <c r="D209">
        <v>3.5</v>
      </c>
    </row>
    <row r="210" spans="1:4" x14ac:dyDescent="0.2">
      <c r="A210" s="6">
        <f t="shared" si="15"/>
        <v>44483</v>
      </c>
      <c r="B210" s="6">
        <f t="shared" si="19"/>
        <v>44481</v>
      </c>
      <c r="C210" s="7">
        <f t="shared" ref="C210:C236" si="22">C209-1</f>
        <v>398</v>
      </c>
      <c r="D210">
        <v>3.7</v>
      </c>
    </row>
    <row r="211" spans="1:4" x14ac:dyDescent="0.2">
      <c r="A211" s="6">
        <f t="shared" si="15"/>
        <v>44476</v>
      </c>
      <c r="B211" s="6">
        <f t="shared" si="19"/>
        <v>44474</v>
      </c>
      <c r="C211" s="7">
        <f t="shared" si="22"/>
        <v>397</v>
      </c>
      <c r="D211">
        <v>3.6</v>
      </c>
    </row>
    <row r="212" spans="1:4" x14ac:dyDescent="0.2">
      <c r="A212" s="6">
        <f t="shared" si="15"/>
        <v>44469</v>
      </c>
      <c r="B212" s="6">
        <f t="shared" si="19"/>
        <v>44467</v>
      </c>
      <c r="C212" s="7">
        <f t="shared" si="22"/>
        <v>396</v>
      </c>
      <c r="D212">
        <v>4.0999999999999996</v>
      </c>
    </row>
    <row r="213" spans="1:4" x14ac:dyDescent="0.2">
      <c r="A213" s="6">
        <f t="shared" ref="A213:A250" si="23">B213+2</f>
        <v>44462</v>
      </c>
      <c r="B213" s="6">
        <f t="shared" si="19"/>
        <v>44460</v>
      </c>
      <c r="C213" s="7">
        <f t="shared" si="22"/>
        <v>395</v>
      </c>
      <c r="D213">
        <v>4.0999999999999996</v>
      </c>
    </row>
    <row r="214" spans="1:4" x14ac:dyDescent="0.2">
      <c r="A214" s="6">
        <f t="shared" si="23"/>
        <v>44455</v>
      </c>
      <c r="B214" s="6">
        <f t="shared" si="19"/>
        <v>44453</v>
      </c>
      <c r="C214" s="7">
        <f t="shared" si="22"/>
        <v>394</v>
      </c>
      <c r="D214">
        <v>4.0999999999999996</v>
      </c>
    </row>
    <row r="215" spans="1:4" x14ac:dyDescent="0.2">
      <c r="A215" s="6">
        <f t="shared" si="23"/>
        <v>44448</v>
      </c>
      <c r="B215" s="6">
        <f t="shared" si="19"/>
        <v>44446</v>
      </c>
      <c r="C215" s="7">
        <f t="shared" si="22"/>
        <v>393</v>
      </c>
      <c r="D215">
        <v>4.05</v>
      </c>
    </row>
    <row r="216" spans="1:4" x14ac:dyDescent="0.2">
      <c r="A216" s="6">
        <f t="shared" si="23"/>
        <v>44441</v>
      </c>
      <c r="B216" s="6">
        <f t="shared" si="19"/>
        <v>44439</v>
      </c>
      <c r="C216" s="7">
        <f t="shared" si="22"/>
        <v>392</v>
      </c>
      <c r="D216">
        <v>3.77</v>
      </c>
    </row>
    <row r="217" spans="1:4" x14ac:dyDescent="0.2">
      <c r="A217" s="6">
        <f t="shared" si="23"/>
        <v>44434</v>
      </c>
      <c r="B217" s="6">
        <f t="shared" si="19"/>
        <v>44432</v>
      </c>
      <c r="C217" s="7">
        <f t="shared" si="22"/>
        <v>391</v>
      </c>
      <c r="D217">
        <v>3.75</v>
      </c>
    </row>
    <row r="218" spans="1:4" x14ac:dyDescent="0.2">
      <c r="A218" s="6">
        <f t="shared" si="23"/>
        <v>44427</v>
      </c>
      <c r="B218" s="6">
        <f t="shared" si="19"/>
        <v>44425</v>
      </c>
      <c r="C218" s="7">
        <f t="shared" si="22"/>
        <v>390</v>
      </c>
      <c r="D218">
        <v>3.9</v>
      </c>
    </row>
    <row r="219" spans="1:4" x14ac:dyDescent="0.2">
      <c r="A219" s="6">
        <f t="shared" si="23"/>
        <v>44420</v>
      </c>
      <c r="B219" s="6">
        <f t="shared" si="19"/>
        <v>44418</v>
      </c>
      <c r="C219" s="7">
        <f t="shared" si="22"/>
        <v>389</v>
      </c>
      <c r="D219">
        <v>3.9</v>
      </c>
    </row>
    <row r="220" spans="1:4" x14ac:dyDescent="0.2">
      <c r="A220" s="6">
        <f t="shared" si="23"/>
        <v>44413</v>
      </c>
      <c r="B220" s="6">
        <f t="shared" si="19"/>
        <v>44411</v>
      </c>
      <c r="C220" s="7">
        <f t="shared" si="22"/>
        <v>388</v>
      </c>
      <c r="D220">
        <v>3.75</v>
      </c>
    </row>
    <row r="221" spans="1:4" x14ac:dyDescent="0.2">
      <c r="A221" s="6">
        <f t="shared" si="23"/>
        <v>44406</v>
      </c>
      <c r="B221" s="6">
        <f t="shared" si="19"/>
        <v>44404</v>
      </c>
      <c r="C221" s="7">
        <f t="shared" si="22"/>
        <v>387</v>
      </c>
      <c r="D221">
        <v>3.75</v>
      </c>
    </row>
    <row r="222" spans="1:4" x14ac:dyDescent="0.2">
      <c r="A222" s="6">
        <f t="shared" si="23"/>
        <v>44399</v>
      </c>
      <c r="B222" s="6">
        <f t="shared" si="19"/>
        <v>44397</v>
      </c>
      <c r="C222" s="7">
        <f t="shared" si="22"/>
        <v>386</v>
      </c>
      <c r="D222">
        <v>3.65</v>
      </c>
    </row>
    <row r="223" spans="1:4" x14ac:dyDescent="0.2">
      <c r="A223" s="6">
        <f t="shared" si="23"/>
        <v>44392</v>
      </c>
      <c r="B223" s="6">
        <f t="shared" si="19"/>
        <v>44390</v>
      </c>
      <c r="C223" s="7">
        <f t="shared" si="22"/>
        <v>385</v>
      </c>
      <c r="D223">
        <v>3.6</v>
      </c>
    </row>
    <row r="224" spans="1:4" x14ac:dyDescent="0.2">
      <c r="A224" s="6">
        <f t="shared" si="23"/>
        <v>44385</v>
      </c>
      <c r="B224" s="6">
        <f t="shared" si="19"/>
        <v>44383</v>
      </c>
      <c r="C224" s="7">
        <f t="shared" si="22"/>
        <v>384</v>
      </c>
      <c r="D224">
        <v>3.5</v>
      </c>
    </row>
    <row r="225" spans="1:4" x14ac:dyDescent="0.2">
      <c r="A225" s="6">
        <f t="shared" si="23"/>
        <v>44378</v>
      </c>
      <c r="B225" s="6">
        <f t="shared" si="19"/>
        <v>44376</v>
      </c>
      <c r="C225" s="7">
        <f t="shared" si="22"/>
        <v>383</v>
      </c>
      <c r="D225">
        <v>3.5</v>
      </c>
    </row>
    <row r="226" spans="1:4" x14ac:dyDescent="0.2">
      <c r="A226" s="6">
        <f t="shared" si="23"/>
        <v>44371</v>
      </c>
      <c r="B226" s="6">
        <f t="shared" si="19"/>
        <v>44369</v>
      </c>
      <c r="C226" s="7">
        <f t="shared" si="22"/>
        <v>382</v>
      </c>
      <c r="D226">
        <v>3.6</v>
      </c>
    </row>
    <row r="227" spans="1:4" x14ac:dyDescent="0.2">
      <c r="A227" s="6">
        <f t="shared" si="23"/>
        <v>44364</v>
      </c>
      <c r="B227" s="6">
        <f t="shared" si="19"/>
        <v>44362</v>
      </c>
      <c r="C227" s="7">
        <f t="shared" si="22"/>
        <v>381</v>
      </c>
      <c r="D227">
        <v>3.45</v>
      </c>
    </row>
    <row r="228" spans="1:4" x14ac:dyDescent="0.2">
      <c r="A228" s="6">
        <f t="shared" si="23"/>
        <v>44357</v>
      </c>
      <c r="B228" s="6">
        <f t="shared" si="19"/>
        <v>44355</v>
      </c>
      <c r="C228" s="7">
        <f t="shared" si="22"/>
        <v>380</v>
      </c>
      <c r="D228">
        <v>3.45</v>
      </c>
    </row>
    <row r="229" spans="1:4" x14ac:dyDescent="0.2">
      <c r="A229" s="6">
        <f t="shared" si="23"/>
        <v>44350</v>
      </c>
      <c r="B229" s="6">
        <f t="shared" si="19"/>
        <v>44348</v>
      </c>
      <c r="C229" s="7">
        <f t="shared" si="22"/>
        <v>379</v>
      </c>
      <c r="D229">
        <v>3.4</v>
      </c>
    </row>
    <row r="230" spans="1:4" x14ac:dyDescent="0.2">
      <c r="A230" s="6">
        <f t="shared" si="23"/>
        <v>44343</v>
      </c>
      <c r="B230" s="6">
        <f t="shared" si="19"/>
        <v>44341</v>
      </c>
      <c r="C230" s="7">
        <f t="shared" si="22"/>
        <v>378</v>
      </c>
      <c r="D230">
        <v>3.35</v>
      </c>
    </row>
    <row r="231" spans="1:4" x14ac:dyDescent="0.2">
      <c r="A231" s="6">
        <f t="shared" si="23"/>
        <v>44336</v>
      </c>
      <c r="B231" s="6">
        <f t="shared" si="19"/>
        <v>44334</v>
      </c>
      <c r="C231" s="7">
        <f t="shared" si="22"/>
        <v>377</v>
      </c>
      <c r="D231">
        <v>3.35</v>
      </c>
    </row>
    <row r="232" spans="1:4" x14ac:dyDescent="0.2">
      <c r="A232" s="6">
        <f t="shared" si="23"/>
        <v>44329</v>
      </c>
      <c r="B232" s="6">
        <f t="shared" si="19"/>
        <v>44327</v>
      </c>
      <c r="C232" s="7">
        <f t="shared" si="22"/>
        <v>376</v>
      </c>
      <c r="D232">
        <v>3.35</v>
      </c>
    </row>
    <row r="233" spans="1:4" x14ac:dyDescent="0.2">
      <c r="A233" s="6">
        <f t="shared" si="23"/>
        <v>44322</v>
      </c>
      <c r="B233" s="6">
        <f t="shared" si="19"/>
        <v>44320</v>
      </c>
      <c r="C233" s="7">
        <f t="shared" si="22"/>
        <v>375</v>
      </c>
      <c r="D233">
        <v>3.5</v>
      </c>
    </row>
    <row r="234" spans="1:4" x14ac:dyDescent="0.2">
      <c r="A234" s="6">
        <f t="shared" si="23"/>
        <v>44315</v>
      </c>
      <c r="B234" s="6">
        <f t="shared" si="19"/>
        <v>44313</v>
      </c>
      <c r="C234" s="7">
        <f t="shared" si="22"/>
        <v>374</v>
      </c>
      <c r="D234">
        <v>3.45</v>
      </c>
    </row>
    <row r="235" spans="1:4" x14ac:dyDescent="0.2">
      <c r="A235" s="6">
        <f t="shared" si="23"/>
        <v>44308</v>
      </c>
      <c r="B235" s="6">
        <f t="shared" si="19"/>
        <v>44306</v>
      </c>
      <c r="C235" s="7">
        <f t="shared" si="22"/>
        <v>373</v>
      </c>
      <c r="D235">
        <v>3.5</v>
      </c>
    </row>
    <row r="236" spans="1:4" x14ac:dyDescent="0.2">
      <c r="A236" s="6">
        <f t="shared" si="23"/>
        <v>44301</v>
      </c>
      <c r="B236" s="6">
        <f t="shared" si="19"/>
        <v>44299</v>
      </c>
      <c r="C236" s="7">
        <f t="shared" si="22"/>
        <v>372</v>
      </c>
      <c r="D236">
        <v>3.3</v>
      </c>
    </row>
    <row r="237" spans="1:4" x14ac:dyDescent="0.2">
      <c r="A237" s="6">
        <f t="shared" si="23"/>
        <v>44294</v>
      </c>
      <c r="B237" s="6">
        <f t="shared" si="19"/>
        <v>44292</v>
      </c>
      <c r="C237" s="4"/>
      <c r="D237" s="4">
        <f>AVERAGE(D238,D236)</f>
        <v>3.2749999999999999</v>
      </c>
    </row>
    <row r="238" spans="1:4" x14ac:dyDescent="0.2">
      <c r="A238" s="6">
        <f t="shared" si="23"/>
        <v>44287</v>
      </c>
      <c r="B238" s="6">
        <f t="shared" si="19"/>
        <v>44285</v>
      </c>
      <c r="C238" s="7">
        <f>C236-1</f>
        <v>371</v>
      </c>
      <c r="D238">
        <v>3.25</v>
      </c>
    </row>
    <row r="239" spans="1:4" x14ac:dyDescent="0.2">
      <c r="A239" s="6">
        <f t="shared" si="23"/>
        <v>44280</v>
      </c>
      <c r="B239" s="6">
        <f t="shared" si="19"/>
        <v>44278</v>
      </c>
      <c r="C239" s="7">
        <f t="shared" ref="C239:C250" si="24">C238-1</f>
        <v>370</v>
      </c>
      <c r="D239">
        <v>3.3</v>
      </c>
    </row>
    <row r="240" spans="1:4" x14ac:dyDescent="0.2">
      <c r="A240" s="6">
        <f t="shared" si="23"/>
        <v>44273</v>
      </c>
      <c r="B240" s="6">
        <f t="shared" si="19"/>
        <v>44271</v>
      </c>
      <c r="C240" s="7">
        <f t="shared" si="24"/>
        <v>369</v>
      </c>
      <c r="D240">
        <v>3.35</v>
      </c>
    </row>
    <row r="241" spans="1:4" x14ac:dyDescent="0.2">
      <c r="A241" s="6">
        <f t="shared" si="23"/>
        <v>44266</v>
      </c>
      <c r="B241" s="6">
        <f t="shared" si="19"/>
        <v>44264</v>
      </c>
      <c r="C241" s="7">
        <f t="shared" si="24"/>
        <v>368</v>
      </c>
      <c r="D241">
        <v>3.4</v>
      </c>
    </row>
    <row r="242" spans="1:4" x14ac:dyDescent="0.2">
      <c r="A242" s="6">
        <f t="shared" si="23"/>
        <v>44259</v>
      </c>
      <c r="B242" s="6">
        <f t="shared" si="19"/>
        <v>44257</v>
      </c>
      <c r="C242" s="7">
        <f t="shared" si="24"/>
        <v>367</v>
      </c>
      <c r="D242">
        <v>3.4</v>
      </c>
    </row>
    <row r="243" spans="1:4" x14ac:dyDescent="0.2">
      <c r="A243" s="6">
        <f t="shared" si="23"/>
        <v>44252</v>
      </c>
      <c r="B243" s="6">
        <f t="shared" ref="B243:B250" si="25">B242-7</f>
        <v>44250</v>
      </c>
      <c r="C243" s="7">
        <f t="shared" si="24"/>
        <v>366</v>
      </c>
      <c r="D243">
        <v>3.3</v>
      </c>
    </row>
    <row r="244" spans="1:4" x14ac:dyDescent="0.2">
      <c r="A244" s="6">
        <f t="shared" si="23"/>
        <v>44245</v>
      </c>
      <c r="B244" s="6">
        <f t="shared" si="25"/>
        <v>44243</v>
      </c>
      <c r="C244" s="7">
        <f t="shared" si="24"/>
        <v>365</v>
      </c>
      <c r="D244">
        <v>3.35</v>
      </c>
    </row>
    <row r="245" spans="1:4" x14ac:dyDescent="0.2">
      <c r="A245" s="6">
        <f t="shared" si="23"/>
        <v>44238</v>
      </c>
      <c r="B245" s="6">
        <f t="shared" si="25"/>
        <v>44236</v>
      </c>
      <c r="C245" s="7">
        <f t="shared" si="24"/>
        <v>364</v>
      </c>
      <c r="D245">
        <v>3.3</v>
      </c>
    </row>
    <row r="246" spans="1:4" x14ac:dyDescent="0.2">
      <c r="A246" s="6">
        <f t="shared" si="23"/>
        <v>44231</v>
      </c>
      <c r="B246" s="6">
        <f t="shared" si="25"/>
        <v>44229</v>
      </c>
      <c r="C246" s="7">
        <f t="shared" si="24"/>
        <v>363</v>
      </c>
      <c r="D246">
        <v>3.23</v>
      </c>
    </row>
    <row r="247" spans="1:4" x14ac:dyDescent="0.2">
      <c r="A247" s="6">
        <f t="shared" si="23"/>
        <v>44224</v>
      </c>
      <c r="B247" s="6">
        <f t="shared" si="25"/>
        <v>44222</v>
      </c>
      <c r="C247" s="7">
        <f t="shared" si="24"/>
        <v>362</v>
      </c>
      <c r="D247">
        <v>3.1</v>
      </c>
    </row>
    <row r="248" spans="1:4" x14ac:dyDescent="0.2">
      <c r="A248" s="6">
        <f t="shared" si="23"/>
        <v>44217</v>
      </c>
      <c r="B248" s="6">
        <f t="shared" si="25"/>
        <v>44215</v>
      </c>
      <c r="C248" s="7">
        <f t="shared" si="24"/>
        <v>361</v>
      </c>
      <c r="D248">
        <v>3.05</v>
      </c>
    </row>
    <row r="249" spans="1:4" x14ac:dyDescent="0.2">
      <c r="A249" s="6">
        <f t="shared" si="23"/>
        <v>44210</v>
      </c>
      <c r="B249" s="6">
        <f t="shared" si="25"/>
        <v>44208</v>
      </c>
      <c r="C249" s="7">
        <f t="shared" si="24"/>
        <v>360</v>
      </c>
      <c r="D249" s="4">
        <f>AVERAGE(D250,D248)</f>
        <v>2.95</v>
      </c>
    </row>
    <row r="250" spans="1:4" x14ac:dyDescent="0.2">
      <c r="A250" s="6">
        <f t="shared" si="23"/>
        <v>44203</v>
      </c>
      <c r="B250" s="6">
        <f t="shared" si="25"/>
        <v>44201</v>
      </c>
      <c r="C250" s="7">
        <f t="shared" si="24"/>
        <v>359</v>
      </c>
      <c r="D250">
        <v>2.85</v>
      </c>
    </row>
    <row r="251" spans="1:4" x14ac:dyDescent="0.2">
      <c r="A251" s="6"/>
      <c r="B251" s="6"/>
      <c r="C251" s="7"/>
    </row>
    <row r="252" spans="1:4" x14ac:dyDescent="0.2">
      <c r="A252" s="6"/>
      <c r="B252" s="6"/>
      <c r="C252" s="7"/>
    </row>
    <row r="253" spans="1:4" x14ac:dyDescent="0.2">
      <c r="A253" s="6"/>
      <c r="B253" s="6"/>
      <c r="C253" s="7"/>
    </row>
    <row r="254" spans="1:4" x14ac:dyDescent="0.2">
      <c r="A254" s="6"/>
      <c r="B254" s="6"/>
      <c r="C254" s="7"/>
    </row>
    <row r="255" spans="1:4" x14ac:dyDescent="0.2">
      <c r="A255" s="6"/>
      <c r="B255" s="6"/>
      <c r="C255" s="7"/>
    </row>
    <row r="256" spans="1:4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/>
      <c r="B258" s="6"/>
      <c r="C258" s="7"/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/>
      <c r="B261" s="6"/>
      <c r="C261" s="7"/>
    </row>
    <row r="262" spans="1:3" x14ac:dyDescent="0.2">
      <c r="A262" s="6"/>
      <c r="B262" s="6"/>
      <c r="C262" s="7"/>
    </row>
    <row r="263" spans="1:3" x14ac:dyDescent="0.2">
      <c r="C263" s="7"/>
    </row>
    <row r="264" spans="1:3" x14ac:dyDescent="0.2">
      <c r="C264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</vt:lpstr>
      <vt:lpstr>APOIO</vt:lpstr>
      <vt:lpstr>Separação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Da Silva Maia</dc:creator>
  <cp:lastModifiedBy>Gabriel Rodrigues Da Cruz</cp:lastModifiedBy>
  <dcterms:created xsi:type="dcterms:W3CDTF">2024-07-04T11:43:30Z</dcterms:created>
  <dcterms:modified xsi:type="dcterms:W3CDTF">2025-10-10T19:33:30Z</dcterms:modified>
</cp:coreProperties>
</file>